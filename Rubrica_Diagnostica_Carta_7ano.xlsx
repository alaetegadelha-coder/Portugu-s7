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904" documentId="8_{1F98833F-6D52-E744-95AC-F47873A3D27B}" xr6:coauthVersionLast="47" xr6:coauthVersionMax="47" xr10:uidLastSave="{1A7ED961-5381-4BE0-BBAA-E36397541066}"/>
  <bookViews>
    <workbookView xWindow="0" yWindow="0" windowWidth="0" windowHeight="0" firstSheet="23" activeTab="8" xr2:uid="{00000000-000D-0000-FFFF-FFFF00000000}"/>
  </bookViews>
  <sheets>
    <sheet name="Alessandro Pereira Santos Batis" sheetId="2" r:id="rId1"/>
    <sheet name="Arthur Queiroz Santana" sheetId="25" r:id="rId2"/>
    <sheet name="Artur Fernandes Barreto" sheetId="23" r:id="rId3"/>
    <sheet name="Camila Martins de Oliveira" sheetId="24" r:id="rId4"/>
    <sheet name="Davi Almeida Souza" sheetId="22" r:id="rId5"/>
    <sheet name="Daví Ferreira Machad" sheetId="21" r:id="rId6"/>
    <sheet name="David Oliveira Machado" sheetId="20" r:id="rId7"/>
    <sheet name="Guilherme Neres da Silva" sheetId="19" r:id="rId8"/>
    <sheet name="Isabela Silva Rocha" sheetId="18" r:id="rId9"/>
    <sheet name="Laura Aparecida Rodrigues da Si" sheetId="17" r:id="rId10"/>
    <sheet name="Lazáro Oliveira Souza" sheetId="16" r:id="rId11"/>
    <sheet name="Maria Isabel Soares Rocha" sheetId="15" r:id="rId12"/>
    <sheet name="Maria Noemi Pereira dos Santos" sheetId="14" r:id="rId13"/>
    <sheet name="Marlon Leví Ribeiro Vargas" sheetId="13" r:id="rId14"/>
    <sheet name="Moab Veraldino Miranda Oliveira" sheetId="11" r:id="rId15"/>
    <sheet name="Rian Guilherme Pereira Castro" sheetId="12" r:id="rId16"/>
    <sheet name="Rute Santos Dias" sheetId="10" r:id="rId17"/>
    <sheet name="Nicolas Santos Machado" sheetId="9" r:id="rId18"/>
    <sheet name="Thayla Cristina Monteiro Rocha " sheetId="8" r:id="rId19"/>
    <sheet name="Thales Martins de Oliveira" sheetId="7" r:id="rId20"/>
    <sheet name="Thiago Moura de Amorim" sheetId="6" r:id="rId21"/>
    <sheet name="Vitor Hugo Ramos de Jesus" sheetId="5" r:id="rId22"/>
    <sheet name="Wallas Gomes Novaes" sheetId="4" r:id="rId23"/>
    <sheet name="Ytallo Neves Barbosa" sheetId="3" r:id="rId24"/>
    <sheet name="Rubrica Diagnóstica 7º Ano" sheetId="1" r:id="rId2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3" l="1"/>
  <c r="B7" i="2"/>
  <c r="F14" i="2"/>
  <c r="B7" i="25"/>
  <c r="F14" i="25" s="1"/>
  <c r="B7" i="23"/>
  <c r="F14" i="23" s="1"/>
  <c r="B7" i="24"/>
  <c r="F14" i="24" s="1"/>
  <c r="B7" i="22"/>
  <c r="F14" i="22" s="1"/>
  <c r="B7" i="21"/>
  <c r="F14" i="21" s="1"/>
  <c r="B7" i="20"/>
  <c r="F14" i="20" s="1"/>
  <c r="B7" i="19"/>
  <c r="F14" i="19" s="1"/>
  <c r="B7" i="18"/>
  <c r="F14" i="18" s="1"/>
  <c r="B7" i="17"/>
  <c r="F14" i="17" s="1"/>
  <c r="B7" i="16"/>
  <c r="F14" i="16" s="1"/>
  <c r="B7" i="15"/>
  <c r="F14" i="15" s="1"/>
  <c r="B7" i="14"/>
  <c r="F14" i="14" s="1"/>
  <c r="F14" i="13"/>
  <c r="B7" i="11"/>
  <c r="F14" i="11" s="1"/>
  <c r="B7" i="12"/>
  <c r="F14" i="12" s="1"/>
  <c r="B7" i="10"/>
  <c r="F14" i="10" s="1"/>
  <c r="B7" i="9"/>
  <c r="F14" i="9" s="1"/>
  <c r="B7" i="8"/>
  <c r="F14" i="8" s="1"/>
  <c r="B7" i="7"/>
  <c r="F14" i="7" s="1"/>
  <c r="B7" i="6"/>
  <c r="F14" i="6" s="1"/>
  <c r="B7" i="5"/>
  <c r="F14" i="5" s="1"/>
  <c r="B7" i="4"/>
  <c r="F14" i="4" s="1"/>
  <c r="B7" i="3"/>
  <c r="F14" i="3" s="1"/>
  <c r="F15" i="2"/>
  <c r="F15" i="25"/>
  <c r="F15" i="23"/>
  <c r="F15" i="24"/>
  <c r="F15" i="22"/>
  <c r="F15" i="21"/>
  <c r="F15" i="20"/>
  <c r="F15" i="19"/>
  <c r="F15" i="18"/>
  <c r="F15" i="17"/>
  <c r="F15" i="16"/>
  <c r="F15" i="15"/>
  <c r="F15" i="14"/>
  <c r="F15" i="13"/>
  <c r="F15" i="11"/>
  <c r="F15" i="12"/>
  <c r="F15" i="10"/>
  <c r="F15" i="9"/>
  <c r="F15" i="8"/>
  <c r="F15" i="7"/>
  <c r="F15" i="6"/>
  <c r="F15" i="5"/>
  <c r="F15" i="4"/>
  <c r="E40" i="17"/>
  <c r="D40" i="17"/>
  <c r="C40" i="17"/>
  <c r="B40" i="17"/>
  <c r="E40" i="16"/>
  <c r="D40" i="16"/>
  <c r="C40" i="16"/>
  <c r="B40" i="16"/>
  <c r="E40" i="7"/>
  <c r="D40" i="7"/>
  <c r="C40" i="7"/>
  <c r="B40" i="7"/>
  <c r="E40" i="1"/>
  <c r="D40" i="1"/>
  <c r="C40" i="1"/>
  <c r="B40" i="1"/>
  <c r="F12" i="1"/>
  <c r="F13" i="1" s="1"/>
  <c r="F15" i="3"/>
</calcChain>
</file>

<file path=xl/sharedStrings.xml><?xml version="1.0" encoding="utf-8"?>
<sst xmlns="http://schemas.openxmlformats.org/spreadsheetml/2006/main" count="1974" uniqueCount="557">
  <si>
    <t>RUBRICA DIAGNÓSTICA – CARTA DE RECLAMAÇÃO – 7º ANO</t>
  </si>
  <si>
    <t>Critério</t>
  </si>
  <si>
    <t>Iniciante (1)</t>
  </si>
  <si>
    <t>Básico (2)</t>
  </si>
  <si>
    <t>Adequado (3)</t>
  </si>
  <si>
    <t>Avançado (4)</t>
  </si>
  <si>
    <t>Pontuação</t>
  </si>
  <si>
    <t>Grande dificuldade em estruturar o texto</t>
  </si>
  <si>
    <t>Estrutura incompleta ou argumentação limitada</t>
  </si>
  <si>
    <t>Estrutura correta com pequenos problemas linguísticos</t>
  </si>
  <si>
    <t>Domínio claro do gênero e boa organização textual</t>
  </si>
  <si>
    <t>Estrutura do gênero</t>
  </si>
  <si>
    <t>Elementos da Carta</t>
  </si>
  <si>
    <t>Atende</t>
  </si>
  <si>
    <t>Parcial</t>
  </si>
  <si>
    <t>Não atende</t>
  </si>
  <si>
    <t>Local e data</t>
  </si>
  <si>
    <t>Destinatário/Vocativo</t>
  </si>
  <si>
    <t>Apresentação do problema</t>
  </si>
  <si>
    <t>Argumentação</t>
  </si>
  <si>
    <t>Pedido de providências</t>
  </si>
  <si>
    <t>Despedida</t>
  </si>
  <si>
    <t>TOTAL:</t>
  </si>
  <si>
    <t>Assinatura</t>
  </si>
  <si>
    <t>NÍVEL FINAL:</t>
  </si>
  <si>
    <t>Organização e desenvolvimento</t>
  </si>
  <si>
    <t>Adequado</t>
  </si>
  <si>
    <t>Necessita Intervenção</t>
  </si>
  <si>
    <t>Clareza na exposição do problema</t>
  </si>
  <si>
    <t>Coerência e progressão das ideias</t>
  </si>
  <si>
    <t>Uso de argumentos</t>
  </si>
  <si>
    <t>Organização em parágrafos</t>
  </si>
  <si>
    <t xml:space="preserve">Aspectos linguísticos </t>
  </si>
  <si>
    <t>Parcial / Alguns erros</t>
  </si>
  <si>
    <t>Necessita Intervenção / Muitos erros / Ausente / Informal</t>
  </si>
  <si>
    <t>Ortografia</t>
  </si>
  <si>
    <t>Concordância</t>
  </si>
  <si>
    <t>Linguagem formal</t>
  </si>
  <si>
    <t>📊 ANÁLISE DA PRODUÇÃO – ALUNO COM DI</t>
  </si>
  <si>
    <t>1️⃣ Compreensão da proposta</t>
  </si>
  <si>
    <t>Avaliação</t>
  </si>
  <si>
    <t>Entendeu que deveria escrever uma carta</t>
  </si>
  <si>
    <t>✅ Sim</t>
  </si>
  <si>
    <t>Identificou um problema</t>
  </si>
  <si>
    <t>Direcionou a alguém (presidente)</t>
  </si>
  <si>
    <t>Tentou explicar a situação</t>
  </si>
  <si>
    <t>📌 Observação:</t>
  </si>
  <si>
    <t>O estudante compreendeu a tarefa: escreveu uma carta para uma autoridade reclamando de um problema na rua.</t>
  </si>
  <si>
    <t>Isso demonstra compreensão da função social do texto.</t>
  </si>
  <si>
    <t>2️⃣ Desenvolvimento das ideias</t>
  </si>
  <si>
    <t>Clareza do problema</t>
  </si>
  <si>
    <t>✅ Presente</t>
  </si>
  <si>
    <t>Sequência de ideias</t>
  </si>
  <si>
    <t>⚠️ Parcial</t>
  </si>
  <si>
    <t>Detalhamento</t>
  </si>
  <si>
    <t>⚠️ Básico</t>
  </si>
  <si>
    <t>O aluno explica que há buracos na rua e que pessoas podem cair, mostrando que entende o motivo da reclamação.</t>
  </si>
  <si>
    <t>Para um aluno com DI, isso indica boa construção de sentido.</t>
  </si>
  <si>
    <t>3️⃣ Estrutura do gênero</t>
  </si>
  <si>
    <t>Elemento</t>
  </si>
  <si>
    <t>Identificação inicial</t>
  </si>
  <si>
    <t>Pedido de solução</t>
  </si>
  <si>
    <t>A estrutura ainda não está completa, mas o aluno conseguiu organizar um texto com início, desenvolvimento e assinatura.</t>
  </si>
  <si>
    <t>4️⃣ Aspectos linguísticos (avaliação adaptada)</t>
  </si>
  <si>
    <t>⚠️ Esperado para o nível</t>
  </si>
  <si>
    <t>⚠️ Pouco uso</t>
  </si>
  <si>
    <t>Clareza</t>
  </si>
  <si>
    <t>✅ Boa</t>
  </si>
  <si>
    <t>📌 Observação pedagógica:</t>
  </si>
  <si>
    <t>Para aluno com DI, o mais importante é a comunicação da ideia, e o texto cumpre essa função.</t>
  </si>
  <si>
    <t>✅ PRINCIPAIS ACERTOS</t>
  </si>
  <si>
    <t>O estudante demonstrou:</t>
  </si>
  <si>
    <t>✔ compreensão da proposta</t>
  </si>
  <si>
    <t>✔ identificação de um problema real</t>
  </si>
  <si>
    <t>✔ tentativa de argumentar</t>
  </si>
  <si>
    <t>✔ produção textual com sentido completo</t>
  </si>
  <si>
    <t>✔ autonomia na escrita</t>
  </si>
  <si>
    <t>⚠️ PONTOS A DESENVOLVER</t>
  </si>
  <si>
    <t>organizar melhor as partes da carta</t>
  </si>
  <si>
    <t>ampliar as frases</t>
  </si>
  <si>
    <t>usar pontuação básica</t>
  </si>
  <si>
    <t>📊 CLASSIFICAÇÃO (AVALIAÇÃO ADAPTADA)</t>
  </si>
  <si>
    <t>Nível de desempenho:</t>
  </si>
  <si>
    <t>☑ ADEQUADO – COM ADAPTAÇÃO</t>
  </si>
  <si>
    <t>Justificativa pedagógica:</t>
  </si>
  <si>
    <t>O estudante conseguiu:</t>
  </si>
  <si>
    <t>compreender a atividade</t>
  </si>
  <si>
    <t>expressar o problema</t>
  </si>
  <si>
    <t>produzir um texto funcional</t>
  </si>
  <si>
    <t>Para aluno com DI, isso representa bom desempenho comunicativo.</t>
  </si>
  <si>
    <t>💬 FEEDBACK INCLUSIVO PARA O ALUNO</t>
  </si>
  <si>
    <t>Você conseguiu explicar bem o problema da rua e mostrou que entende para que serve uma carta de reclamação. Continue escrevendo e tentando explicar cada vez melhor suas ideias.</t>
  </si>
  <si>
    <t>📈 REGISTRO PEDAGÓGICO (IMPORTANTE PARA RELATÓRIO)</t>
  </si>
  <si>
    <t>Aluno demonstra:</t>
  </si>
  <si>
    <t>✔ compreensão da proposta textual</t>
  </si>
  <si>
    <t>✔ capacidade de expressar problemas do cotidiano</t>
  </si>
  <si>
    <t>✔ produção escrita com sentido global</t>
  </si>
  <si>
    <t>Necessita apoio em:</t>
  </si>
  <si>
    <t>organização textual</t>
  </si>
  <si>
    <t>ampliação de frases</t>
  </si>
  <si>
    <t>uso de pontuação.</t>
  </si>
  <si>
    <t>💡 Observação importante para você como professora:</t>
  </si>
  <si>
    <t>Este aluno não está no nível inicial da turma, mesmo com DI.</t>
  </si>
  <si>
    <t>Ele demonstra:</t>
  </si>
  <si>
    <t>compreensão de situação social</t>
  </si>
  <si>
    <t>intenção comunicativa</t>
  </si>
  <si>
    <t>produção de texto funcional.</t>
  </si>
  <si>
    <t>Isso é um ótimo indicador no diagnóstico.</t>
  </si>
  <si>
    <t xml:space="preserve">Inicial </t>
  </si>
  <si>
    <t>O estudante relata um problema ocorrido na escola (presença de uma pessoa estranha), mas não estruturou o texto como carta de reclamação.</t>
  </si>
  <si>
    <t>O aluno apresenta uma narrativa de acontecimento, sem organizar as ideias como reclamação dirigida a uma autoridade.</t>
  </si>
  <si>
    <t>A escrita é compreensível, mas apresenta pouca pontuação e estrutura muito próxima da linguagem oral.</t>
  </si>
  <si>
    <t>✅ ACERTOS CONCEITUAIS</t>
  </si>
  <si>
    <t>✔ compreensão de que existe um problema na escola</t>
  </si>
  <si>
    <t>✔ capacidade de relatar um acontecimento</t>
  </si>
  <si>
    <t>✔ tentativa de explicar a situação vivida</t>
  </si>
  <si>
    <t>Isso indica capacidade básica de expressão escrita, ainda em fase inicial de organização textual.</t>
  </si>
  <si>
    <t>⚠️ EQUÍVOCOS OU LACUNAS</t>
  </si>
  <si>
    <t>não utilizou estrutura da carta</t>
  </si>
  <si>
    <t>não apresentou destinatário</t>
  </si>
  <si>
    <t>não formulou pedido de solução</t>
  </si>
  <si>
    <t>ausência de despedida e assinatura</t>
  </si>
  <si>
    <t>pouca organização textual</t>
  </si>
  <si>
    <t>📊 PONTUAÇÃO SUGERIDA</t>
  </si>
  <si>
    <t>Nível diagnóstico:</t>
  </si>
  <si>
    <t>☑ INICIAL</t>
  </si>
  <si>
    <t>O estudante consegue relatar um fato, mas ainda não domina a estrutura do gênero carta de reclamação.</t>
  </si>
  <si>
    <t>💬 FEEDBACK PEDAGÓGICO PARA O ESTUDANTE</t>
  </si>
  <si>
    <t>Você conseguiu contar um problema que aconteceu na escola. Para melhorar seu texto, é importante organizar a escrita como uma carta, dizendo para quem está escrevendo, explicando o problema e pedindo uma solução.</t>
  </si>
  <si>
    <t>🛠 ORIENTAÇÃO PARA MELHORIA</t>
  </si>
  <si>
    <t>Sugestões pedagógicas:</t>
  </si>
  <si>
    <t>1️⃣ Trabalhar modelo de carta de reclamação passo a passo.</t>
  </si>
  <si>
    <t>2️⃣ Atividade de reescrita do texto do aluno em formato de carta.</t>
  </si>
  <si>
    <t>3️⃣ Exercícios de organização de ideias em parágrafos.</t>
  </si>
  <si>
    <t>4️⃣ Prática de estrutura do gênero (local, data, saudação, pedido, despedida).</t>
  </si>
  <si>
    <t>📈 Diagnóstico pedagógico do aluno</t>
  </si>
  <si>
    <t>Perfil observado:</t>
  </si>
  <si>
    <t>✔ consegue relatar situações</t>
  </si>
  <si>
    <t>⚠️ dificuldade em organizar texto dentro de um gênero específico</t>
  </si>
  <si>
    <t>Indica nível inicial de domínio do gênero carta no 7º ano.</t>
  </si>
  <si>
    <t xml:space="preserve">Adequado </t>
  </si>
  <si>
    <t>O estudante apresenta identificação da escola, data e vocativo ao prefeito, explica o problema relacionado ao salário do agente de limpeza, e finaliza com assinatura.</t>
  </si>
  <si>
    <t>O estudante explica que o agente não ganha o suficiente pelo trabalho que realiza, argumentando que ele trabalha bastante e recebe pouco.</t>
  </si>
  <si>
    <t>A ideia principal é clara, porém poderia ser mais desenvolvida.</t>
  </si>
  <si>
    <t>A escrita é compreensível, mas apresenta alguns desvios ortográficos e pontuação limitada.</t>
  </si>
  <si>
    <t>✔ compreensão da finalidade da carta de reclamação</t>
  </si>
  <si>
    <t>✔ identificação clara de um problema relacionado ao trabalho do agente de limpeza</t>
  </si>
  <si>
    <t>✔ tentativa de argumentar sobre injustiça salarial</t>
  </si>
  <si>
    <t>✔ uso de destinatário e assinatura</t>
  </si>
  <si>
    <t>Isso indica boa compreensão da proposta de escrita.</t>
  </si>
  <si>
    <t>argumentação pouco desenvolvida</t>
  </si>
  <si>
    <t>ausência de organização em parágrafos</t>
  </si>
  <si>
    <t>pontuação limitada</t>
  </si>
  <si>
    <t>estrutura formal da carta poderia ser mais completa</t>
  </si>
  <si>
    <t>☑ ADEQUADO</t>
  </si>
  <si>
    <t>O estudante:</t>
  </si>
  <si>
    <t>compreende o gênero textual</t>
  </si>
  <si>
    <t>apresenta problema e justificativa</t>
  </si>
  <si>
    <t>organiza o texto de forma compreensível</t>
  </si>
  <si>
    <t>Precisa aprimorar expansão argumentativa e organização textual.</t>
  </si>
  <si>
    <t>Você apresentou claramente o problema e explicou por que considera a situação injusta. Seu texto mostra que você compreendeu o objetivo da carta de reclamação. Para melhorar ainda mais, procure desenvolver mais os argumentos e organizar o texto em parágrafos.</t>
  </si>
  <si>
    <t>1️⃣ Trabalhar ampliação de argumentos (explicar consequências do problema).</t>
  </si>
  <si>
    <t>2️⃣ Exercícios de organização em parágrafos.</t>
  </si>
  <si>
    <t>3️⃣ Revisão de pontuação e ortografia.</t>
  </si>
  <si>
    <t>✔ boa compreensão da proposta de escrita</t>
  </si>
  <si>
    <t>✔ capacidade de identificar e argumentar sobre um problema</t>
  </si>
  <si>
    <t>⚠️ necessidade de desenvolver organização textual e ampliação de ideias</t>
  </si>
  <si>
    <t>Indica nível intermediário de produção escrita para o 7º ano.</t>
  </si>
  <si>
    <t>O estudante demonstra boa compreensão do gênero carta de reclamação, organizando o texto com título e introdução do problema.</t>
  </si>
  <si>
    <t>O aluno explica que há um buraco na rua e que pessoas podem cair quando passam por ali, apresentando justificativa para a reclamação. O problema é compreensível e bem contextualizado.</t>
  </si>
  <si>
    <t>Apesar de alguns erros ortográficos e de pontuação, o texto é bem compreensível e apresenta frases completas.</t>
  </si>
  <si>
    <t>✔ compreensão do objetivo da carta de reclamação</t>
  </si>
  <si>
    <t>✔ identificação clara de um problema público (buraco na rua)</t>
  </si>
  <si>
    <t>✔ tentativa de argumentar e justificar o problema</t>
  </si>
  <si>
    <t>✔ organização geral do texto</t>
  </si>
  <si>
    <t>⚠️ PONTOS A MELHORAR</t>
  </si>
  <si>
    <t>melhorar ortografia de algumas palavras</t>
  </si>
  <si>
    <t>usar mais pontuação</t>
  </si>
  <si>
    <t>organizar melhor as partes finais da carta (despedida e assinatura)</t>
  </si>
  <si>
    <t>📊 PONTUAÇÃO PELA RUBRICA</t>
  </si>
  <si>
    <t>desenvolve ideias de forma clara</t>
  </si>
  <si>
    <t>Precisa apenas aprimorar aspectos linguísticos e estrutura final da carta.</t>
  </si>
  <si>
    <t>💬 FEEDBACK PARA O ESTUDANTE</t>
  </si>
  <si>
    <t>Seu texto explica bem o problema e mostra por que ele precisa ser resolvido. Para melhorar ainda mais, tente revisar a ortografia das palavras e usar mais pontuação.</t>
  </si>
  <si>
    <t>✔ boa compreensão do gênero textual</t>
  </si>
  <si>
    <t>✔ capacidade de explicar um problema</t>
  </si>
  <si>
    <t>⚠️ precisa melhorar revisão linguística</t>
  </si>
  <si>
    <t>Indica nível adequado de escrita para o 7º ano.</t>
  </si>
  <si>
    <t>O estudante menciona autoridades (prefeito e diretor) e problemas relacionados à escola (quadra/campo), mas a estrutura da carta não está claramente organizada.</t>
  </si>
  <si>
    <t>As ideias aparecem fragmentadas e organizadas em forma de lista ou colunas, o que dificulta compreender a progressão do texto como carta.</t>
  </si>
  <si>
    <t>O aluno apresenta escrita compreensível, mas com pouca organização textual e ausência de pontuação.</t>
  </si>
  <si>
    <t>✔ compreensão de que a carta serve para reclamar de um problema</t>
  </si>
  <si>
    <t>✔ identificação de autoridades responsáveis (prefeito/diretor)</t>
  </si>
  <si>
    <t>✔ tentativa de listar problemas da escola</t>
  </si>
  <si>
    <t>Isso mostra que o aluno compreende parcialmente a finalidade comunicativa da atividade.</t>
  </si>
  <si>
    <t>estrutura da carta não foi organizada</t>
  </si>
  <si>
    <t>ideias aparecem em formato de lista</t>
  </si>
  <si>
    <t>ausência de vocativo claro</t>
  </si>
  <si>
    <t>ausência de despedida</t>
  </si>
  <si>
    <t>pouca progressão textual</t>
  </si>
  <si>
    <t>☑ BÁSICO</t>
  </si>
  <si>
    <t>O estudante demonstra intenção comunicativa e identificação do problema, porém apresenta dificuldades em organizar o texto dentro da estrutura do gênero carta.</t>
  </si>
  <si>
    <t>Você conseguiu identificar problemas da escola e mostrar que deseja que eles sejam resolvidos. Para melhorar seu texto, tente organizar as ideias como uma carta, com início, desenvolvimento e final, explicando melhor o problema e o que precisa ser feito para resolvê-lo.</t>
  </si>
  <si>
    <t>1️⃣ Trabalhar modelo de carta de reclamação com exemplo visual.</t>
  </si>
  <si>
    <t>2️⃣ Atividade de reescrita orientada, transformando lista em texto.</t>
  </si>
  <si>
    <t>3️⃣ Prática de organização em parágrafos.</t>
  </si>
  <si>
    <t>4️⃣ Exercícios de pontuação básica.</t>
  </si>
  <si>
    <t>✔ compreende o tema da atividade</t>
  </si>
  <si>
    <t>✔ consegue identificar problemas reais</t>
  </si>
  <si>
    <t>⚠️ apresenta dificuldade em organização textual e estrutura do gênero</t>
  </si>
  <si>
    <t>Indica nível inicial-intermediário de produção escrita para o 7º ano.</t>
  </si>
  <si>
    <t>O estudante demonstra compreender que deve escrever uma carta de reclamação dirigida à diretora, mas a estrutura formal ainda está incompleta.</t>
  </si>
  <si>
    <t>O estudante relata um problema relacionado à mãe e ao trabalho de lavar roupa, indicando que ela precisa trabalhar e isso interfere na rotina. A ideia central aparece, mas falta maior explicação e organização.</t>
  </si>
  <si>
    <t>O texto é compreensível, porém apresenta pouco uso de pontuação e alguns problemas de ortografia.</t>
  </si>
  <si>
    <t>✔ tentativa de seguir o gênero carta de reclamação</t>
  </si>
  <si>
    <t>✔ apresentação de um problema real</t>
  </si>
  <si>
    <t>✔ tentativa de explicar a situação</t>
  </si>
  <si>
    <t>Isso indica compreensão inicial da proposta de escrita.</t>
  </si>
  <si>
    <t>completar a estrutura da carta</t>
  </si>
  <si>
    <t>desenvolver melhor o problema apresentado</t>
  </si>
  <si>
    <t>incluir pedido de solução</t>
  </si>
  <si>
    <t>melhorar pontuação e organização das frases</t>
  </si>
  <si>
    <t>compreende a proposta</t>
  </si>
  <si>
    <t>apresenta o problema</t>
  </si>
  <si>
    <t>Mas ainda precisa melhorar:</t>
  </si>
  <si>
    <t>argumentação</t>
  </si>
  <si>
    <t>aspectos linguísticos.</t>
  </si>
  <si>
    <t>Você conseguiu apresentar um problema em sua carta. Para melhorar seu texto, tente explicar melhor a situação, organizar as ideias em frases completas e escrever qual solução você gostaria que fosse tomada.</t>
  </si>
  <si>
    <t>✔ identifica um problema</t>
  </si>
  <si>
    <t>✔ tenta explicar a situação</t>
  </si>
  <si>
    <t>⚠️ apresenta dificuldades em organizar e desenvolver o texto</t>
  </si>
  <si>
    <t>Indica nível básico de escrita para o 7º ano.</t>
  </si>
  <si>
    <t>O estudante organiza a produção como carta de reclamação dirigida à diretora da escola, apresentando cabeçalho e destinatário. A estrutura geral da carta aparece, porém algumas partes poderiam estar mais completas.</t>
  </si>
  <si>
    <t>O estudante reclama da qualidade da comida/merenda escolar, afirmando que a comida está fria e que muitos alunos reclamam. A ideia principal é compreensível, mas poderia ser mais desenvolvida.</t>
  </si>
  <si>
    <t>O texto é compreensível, mas apresenta alguns desvios ortográficos e uso limitado de pontuação.</t>
  </si>
  <si>
    <t>✔ identificação de um problema da escola (merenda)</t>
  </si>
  <si>
    <t>✔ tentativa de argumentar com base na experiência dos alunos</t>
  </si>
  <si>
    <t>✔ uso de destinatário e estrutura inicial da carta</t>
  </si>
  <si>
    <t>ausência de parágrafos</t>
  </si>
  <si>
    <t>estrutura final da carta poderia ser mais completa</t>
  </si>
  <si>
    <t>organiza ideias de forma compreensível</t>
  </si>
  <si>
    <t>Precisa desenvolver maior detalhamento dos argumentos e organização textual.</t>
  </si>
  <si>
    <t>Você apresentou o problema da merenda escolar e explicou por que isso incomoda os alunos. Seu texto mostra que você compreendeu o objetivo da carta de reclamação. Para melhorar ainda mais, tente desenvolver mais os argumentos e organizar o texto em parágrafos.</t>
  </si>
  <si>
    <t>1️⃣ Trabalhar expansão de argumentos (explicar melhor o problema).</t>
  </si>
  <si>
    <t>4️⃣ Reescrita da carta com modelo orientado.</t>
  </si>
  <si>
    <t>✔ capacidade de identificar problemas e expressar opinião</t>
  </si>
  <si>
    <t>⚠️ necessidade de desenvolver argumentação e organização textual</t>
  </si>
  <si>
    <t>Indica nível intermediário de escrita para o 7º ano.</t>
  </si>
  <si>
    <t>O estudante escreveu “local municipal acante joão” (possível tentativa de indicar o destinatário) e apresentou local e data: Presidente Dutra, 12 de jun.</t>
  </si>
  <si>
    <t>Há identificação do problema relacionado à quadra da escola, indicando necessidade de melhorias.</t>
  </si>
  <si>
    <t>O aluno explica que a quadra precisa de melhorias (cobertura, iluminação, piso), demonstrando compreensão do motivo da reclamação, porém o texto é curto e pouco desenvolvido.</t>
  </si>
  <si>
    <t>A escrita é compreensível, mas ainda apresenta simplificações ortográficas e ausência de pontuação, comuns em fase de consolidação da escrita.</t>
  </si>
  <si>
    <t>✔ compreensão da finalidade de reclamar de um problema</t>
  </si>
  <si>
    <t>✔ identificação clara do problema da quadra</t>
  </si>
  <si>
    <t>✔ inclusão de local e data</t>
  </si>
  <si>
    <t>✔ presença de assinatura</t>
  </si>
  <si>
    <t>✔ tentativa de direcionar a reclamação a uma autoridade</t>
  </si>
  <si>
    <t>Esses elementos indicam compreensão básica do gênero carta de reclamação.</t>
  </si>
  <si>
    <t>ausência de despedida formal</t>
  </si>
  <si>
    <t>vocativo pouco claro</t>
  </si>
  <si>
    <t>falta de organização em parágrafos</t>
  </si>
  <si>
    <t>ausência de pontuação</t>
  </si>
  <si>
    <t>necessidade de revisão ortográfica</t>
  </si>
  <si>
    <t>compreende a estrutura básica da carta</t>
  </si>
  <si>
    <t>apresenta o problema com clareza</t>
  </si>
  <si>
    <t>inclui elementos importantes (data e assinatura)</t>
  </si>
  <si>
    <t>Porém ainda precisa melhorar argumentação e organização textual.</t>
  </si>
  <si>
    <t>Você conseguiu apresentar claramente o problema da quadra e incluiu informações importantes como local, data e assinatura. Para melhorar sua carta, tente explicar melhor por que o problema precisa ser resolvido e utilize também uma despedida formal no final do texto.</t>
  </si>
  <si>
    <t>Sugestões de intervenção:</t>
  </si>
  <si>
    <t>📌 Trabalhar:</t>
  </si>
  <si>
    <t>1️⃣ Ampliação de argumentos</t>
  </si>
  <si>
    <t>– explicar consequências do problema.</t>
  </si>
  <si>
    <t>2️⃣ Estrutura completa da carta</t>
  </si>
  <si>
    <t>– incluir saudação e despedida.</t>
  </si>
  <si>
    <t>3️⃣ Uso de pontuação básica</t>
  </si>
  <si>
    <t>– ponto final e vírgula.</t>
  </si>
  <si>
    <t>4️⃣ Revisão coletiva de textos curtos.</t>
  </si>
  <si>
    <t>📈 Diagnóstico pedagógico (importante para você)</t>
  </si>
  <si>
    <t>Este aluno apresenta:</t>
  </si>
  <si>
    <t>✔ compreensão funcional da escrita</t>
  </si>
  <si>
    <t>✔ capacidade de comunicar a ideia central</t>
  </si>
  <si>
    <t>⚠️ necessidade de desenvolver expansão textual e organização</t>
  </si>
  <si>
    <t>Perfil típico de nível intermediário de escrita no 7º ano.</t>
  </si>
  <si>
    <t>O estudante demonstra entender que precisa escrever uma carta de reclamação dirigida a uma autoridade. O texto apresenta início, explicação do problema e assinatura, mas algumas partes da estrutura poderiam estar mais claras.</t>
  </si>
  <si>
    <t>O estudante relata que a rua está com um buraco/canal quebrado e causando transtornos, explicando que isso prejudica as pessoas que passam pelo local. A ideia é compreensível, mas poderia ser melhor organizada.</t>
  </si>
  <si>
    <t>O texto é compreensível, embora apresente alguns erros ortográficos e uso limitado de pontuação.</t>
  </si>
  <si>
    <t>✔ compreensão da proposta de carta de reclamação</t>
  </si>
  <si>
    <t>✔ identificação de um problema público</t>
  </si>
  <si>
    <t>✔ tentativa de explicar por que o problema precisa ser resolvido</t>
  </si>
  <si>
    <t>Isso indica boa compreensão da atividade.</t>
  </si>
  <si>
    <t>organizar melhor as partes da carta (principalmente início e pedido final)</t>
  </si>
  <si>
    <t>escreve de forma compreensível</t>
  </si>
  <si>
    <t>Precisa melhorar aspectos linguísticos e organização da estrutura da carta.</t>
  </si>
  <si>
    <t>Seu texto explica o problema da rua e mostra por que ele precisa ser resolvido. Para melhorar ainda mais, tente revisar algumas palavras e organizar melhor a estrutura da carta.</t>
  </si>
  <si>
    <t>✔ compreende a finalidade do texto</t>
  </si>
  <si>
    <t>✔ consegue explicar um problema</t>
  </si>
  <si>
    <t>⚠️ precisa melhorar ortografia e organização textual</t>
  </si>
  <si>
    <t>O estudante utiliza vocativo (“Sr. Prefeito Roberto”), apresenta o problema relacionado à quadra e ao campo, e inclui assinatura ao final.</t>
  </si>
  <si>
    <t>O estudante explica que o campo/quadra precisa de melhorias (cobertura, iluminação, estrutura).</t>
  </si>
  <si>
    <t>A ideia principal é compreensível, porém as informações aparecem de forma contínua e pouco organizada.</t>
  </si>
  <si>
    <t>A escrita é compreensível, mas apresenta algumas simplificações ortográficas e uso limitado de pontuação.</t>
  </si>
  <si>
    <t>✔ identificação clara do problema (condições da quadra/campo)</t>
  </si>
  <si>
    <t>✔ uso de vocativo direcionado a uma autoridade</t>
  </si>
  <si>
    <t>✔ tentativa de explicar motivo da reclamação</t>
  </si>
  <si>
    <t>Isso indica boa compreensão funcional do gênero textual.</t>
  </si>
  <si>
    <t>local e data pouco claros</t>
  </si>
  <si>
    <t>uso limitado de pontuação</t>
  </si>
  <si>
    <t>algumas dificuldades ortográficas</t>
  </si>
  <si>
    <t>compreende a finalidade do gênero</t>
  </si>
  <si>
    <t>apresenta problema e destinatário</t>
  </si>
  <si>
    <t>constrói texto compreensível</t>
  </si>
  <si>
    <t>Mas ainda precisa melhorar organização textual e desenvolvimento de argumentos.</t>
  </si>
  <si>
    <t>Você conseguiu escrever uma carta de reclamação direcionada a uma autoridade e explicar o problema da quadra/campo. Para melhorar ainda mais seu texto, procure organizar as ideias em parágrafos e explicar melhor por que esse problema precisa ser resolvido.</t>
  </si>
  <si>
    <t>1️⃣ Trabalhar organização da carta em partes</t>
  </si>
  <si>
    <t>(saudações, desenvolvimento, despedida).</t>
  </si>
  <si>
    <t>2️⃣ Praticar expansão de argumentos</t>
  </si>
  <si>
    <t>3️⃣ Exercícios de pontuação básica.</t>
  </si>
  <si>
    <t>4️⃣ Produção de reescrita orientada.</t>
  </si>
  <si>
    <t>✔ compreende a finalidade do gênero</t>
  </si>
  <si>
    <t>✔ consegue expressar ideia central</t>
  </si>
  <si>
    <t>⚠️ necessita desenvolver organização textual e ampliação da escrita</t>
  </si>
  <si>
    <t>Caracteriza nível intermediário de escrita para o 7º ano.</t>
  </si>
  <si>
    <t>O estudante inicia com “Carta de reclamação” e menciona um problema relacionado às merendas das crianças, mas a estrutura formal da carta está incompleta.</t>
  </si>
  <si>
    <t>O aluno menciona que as merendas não estão boas, porém a ideia não é desenvolvida nem explicada com detalhes.</t>
  </si>
  <si>
    <t>A escrita é compreensível, porém muito breve e sem pontuação.</t>
  </si>
  <si>
    <t>✔ compreensão básica de que a carta serve para reclamar de um problema</t>
  </si>
  <si>
    <t>✔ identificação de um tema relevante (merenda escolar)</t>
  </si>
  <si>
    <t>✔ tentativa inicial de escrever dentro da proposta</t>
  </si>
  <si>
    <t>Isso indica compreensão inicial da atividade.</t>
  </si>
  <si>
    <t>ausência de destinatário</t>
  </si>
  <si>
    <t>ausência de argumentação</t>
  </si>
  <si>
    <t>ausência de pedido de solução</t>
  </si>
  <si>
    <t>estrutura incompleta da carta</t>
  </si>
  <si>
    <t>texto muito curto</t>
  </si>
  <si>
    <t>O estudante demonstra intenção comunicativa, mas ainda apresenta dificuldades em organizar o texto dentro do gênero carta de reclamação.</t>
  </si>
  <si>
    <t>Você começou a escrever sobre um problema da escola, o que é um bom início. Para melhorar sua carta, tente explicar melhor qual é o problema, para quem você está escrevendo e qual solução você gostaria que fosse tomada.</t>
  </si>
  <si>
    <t>1️⃣ Trabalhar modelo de carta de reclamação com exemplos.</t>
  </si>
  <si>
    <t>2️⃣ Atividade de reescrita orientada do texto.</t>
  </si>
  <si>
    <t>3️⃣ Exercícios de organização das partes da carta.</t>
  </si>
  <si>
    <t>4️⃣ Prática de ampliação de ideias em frases completas.</t>
  </si>
  <si>
    <t>⚠️ dificuldade em desenvolver ideias e estruturar o gênero</t>
  </si>
  <si>
    <t>Indica nível inicial de escrita no gênero carta para o 7º ano.</t>
  </si>
  <si>
    <t xml:space="preserve">Avançado </t>
  </si>
  <si>
    <t>O estudante apresentou todas as partes principais da carta: cabeçalho com escola, data, vocativo (“Sr. prefeito”), desenvolvimento do problema, pedido de solução, despedida (“Grato”) e assinatura.</t>
  </si>
  <si>
    <t>O estudante explica que a pista e o calçamento estão quebrados, causando dificuldade para as pessoas passarem.</t>
  </si>
  <si>
    <t>Há relação entre problema e consequência, o que demonstra boa construção argumentativa.</t>
  </si>
  <si>
    <t>A escrita é compreensível e organizada, com poucos desvios ortográficos e estrutura de frases adequada.</t>
  </si>
  <si>
    <t>✔ compreensão clara da finalidade da carta de reclamação</t>
  </si>
  <si>
    <t>✔ organização correta da estrutura do gênero</t>
  </si>
  <si>
    <t>✔ explicação do problema com causa e consequência</t>
  </si>
  <si>
    <t>✔ uso de destinatário, despedida e assinatura</t>
  </si>
  <si>
    <t>✔ pedido explícito de solução (reparar pista/calçamento)</t>
  </si>
  <si>
    <t>pequenos desvios ortográficos</t>
  </si>
  <si>
    <t>pontuação ainda pouco explorada</t>
  </si>
  <si>
    <t>organização em parágrafos pode ser aprimorada</t>
  </si>
  <si>
    <t>☑ AVANÇADO</t>
  </si>
  <si>
    <t>domina a estrutura da carta</t>
  </si>
  <si>
    <t>apresenta argumentação clara</t>
  </si>
  <si>
    <t>mantém coerência textual</t>
  </si>
  <si>
    <t>comunica o problema de forma objetiva</t>
  </si>
  <si>
    <t>Apresenta apenas pequenos ajustes linguísticos.</t>
  </si>
  <si>
    <t>Sua carta está bem organizada e apresenta claramente o problema e a solução que você sugere. Você utilizou corretamente a estrutura da carta de reclamação. Para melhorar ainda mais, procure revisar a ortografia de algumas palavras e utilizar mais pontuação para deixar o texto ainda mais claro.</t>
  </si>
  <si>
    <t>Sugestões de desenvolvimento:</t>
  </si>
  <si>
    <t>1️⃣ Revisão de ortografia e pontuação.</t>
  </si>
  <si>
    <t>3️⃣ Ampliação de argumentos com exemplos ou consequências do problema.</t>
  </si>
  <si>
    <t>✔ domínio da estrutura do gênero textual</t>
  </si>
  <si>
    <t>✔ capacidade de argumentação clara</t>
  </si>
  <si>
    <t>✔ boa organização de ideias</t>
  </si>
  <si>
    <t>Indica nível avançado de produção escrita para o 7º ano.</t>
  </si>
  <si>
    <t>A estudante inicia com “Carta de reclamação” e apresenta claramente o problema relacionado à merenda escolar.</t>
  </si>
  <si>
    <t>Há encerramento com “Grato”, porém não há local e data.</t>
  </si>
  <si>
    <t>O aluno apresenta argumentação clara, explicando que:</t>
  </si>
  <si>
    <t>a merenda tem pouca quantidade</t>
  </si>
  <si>
    <t>alguns alimentos não agradam aos alunos</t>
  </si>
  <si>
    <t>muitos alunos acabam não se alimentando</t>
  </si>
  <si>
    <t>Há relação entre problema e consequência, o que demonstra boa construção de ideias.</t>
  </si>
  <si>
    <t>A escrita é compreensível e organizada, com pequenos desvios ortográficos, comuns nesta etapa escolar.</t>
  </si>
  <si>
    <t>A estudante demonstrou:</t>
  </si>
  <si>
    <t>✔ identificação de um problema real da escola (merenda)</t>
  </si>
  <si>
    <t>✔ uso de argumentos para justificar a reclamação</t>
  </si>
  <si>
    <t>✔ tentativa de explicar consequências do problema</t>
  </si>
  <si>
    <t>✔ presença de encerramento da carta</t>
  </si>
  <si>
    <t>Isso demonstra boa compreensão da proposta de escrita.</t>
  </si>
  <si>
    <t>ausência de local e data</t>
  </si>
  <si>
    <t>destinatário pouco definido</t>
  </si>
  <si>
    <t>pontuação poderia ser ampliada</t>
  </si>
  <si>
    <t>estrutura formal da carta pode ser melhor organizada</t>
  </si>
  <si>
    <t>A estudante:</t>
  </si>
  <si>
    <t>apresenta argumentação</t>
  </si>
  <si>
    <t>organiza as ideias com clareza</t>
  </si>
  <si>
    <t>Precisa aprimorar aspectos formais da carta e pontuação.</t>
  </si>
  <si>
    <t>💬 FEEDBACK PEDAGÓGICO PARA A ESTUDANTE</t>
  </si>
  <si>
    <t>Você apresentou bem o problema da merenda e explicou por que isso é importante para os alunos. Seu texto mostra que você compreendeu a finalidade da carta de reclamação. Para melhorar ainda mais, lembre-se de incluir local e data no início da carta e utilizar mais pontuação para organizar as frases.</t>
  </si>
  <si>
    <t>1️⃣ Revisão da estrutura completa da carta</t>
  </si>
  <si>
    <t>(local, data, saudação, desenvolvimento e despedida).</t>
  </si>
  <si>
    <t>2️⃣ Exercícios de pontuação básica.</t>
  </si>
  <si>
    <t>3️⃣ Atividades de reescrita orientada da carta.</t>
  </si>
  <si>
    <t>✔ capacidade de argumentar sobre um problema</t>
  </si>
  <si>
    <t>✔ organização clara de ideias</t>
  </si>
  <si>
    <t>O estudante escreve poucas linhas e não desenvolve a estrutura completa da carta de reclamação. Há tentativa de apresentar um problema, mas o gênero não está bem estruturado.</t>
  </si>
  <si>
    <t>O aluno menciona que há problemas na escola, porém o texto é muito curto e não explica claramente a situação.</t>
  </si>
  <si>
    <t>A escrita é compreensível, mas apresenta pouca organização e quase nenhum uso de pontuação.</t>
  </si>
  <si>
    <t>✔ tentativa de participar da atividade</t>
  </si>
  <si>
    <t>✔ escrita compreensível</t>
  </si>
  <si>
    <t>✔ tentativa de apresentar uma reclamação</t>
  </si>
  <si>
    <t>Isso mostra nível inicial de compreensão da proposta.</t>
  </si>
  <si>
    <t>desenvolver melhor o problema</t>
  </si>
  <si>
    <t>melhorar pontuação e organização</t>
  </si>
  <si>
    <t>O estudante ainda apresenta dificuldades em:</t>
  </si>
  <si>
    <t>desenvolver ideias</t>
  </si>
  <si>
    <t>estruturar o gênero textual</t>
  </si>
  <si>
    <t>organizar frases.</t>
  </si>
  <si>
    <t>Você começou a escrever sua reclamação, mas precisa explicar melhor qual é o problema e para quem está escrevendo. Tente escrever frases mais completas e explicar o que gostaria que fosse resolvido.</t>
  </si>
  <si>
    <t>⚠️ dificuldade em organização e desenvolvimento textual</t>
  </si>
  <si>
    <t>Indica nível inicial de escrita para o 7º ano.</t>
  </si>
  <si>
    <t>O estudante direciona a carta à prefeita, explica o problema da falta de iluminação na estrada/rua, mas a estrutura formal da carta ainda não está completa (falta assinatura clara e despedida mais estruturada).</t>
  </si>
  <si>
    <t>O estudante explica que a estrada é escura e perigosa, podendo causar acidentes, e que muitas pessoas passam pelo local.</t>
  </si>
  <si>
    <t>Isso demonstra boa relação entre problema e consequência.</t>
  </si>
  <si>
    <t>O texto é compreensível e organizado, mas apresenta alguns desvios ortográficos e pontuação limitada.</t>
  </si>
  <si>
    <t>✔ identificação clara de um problema público (falta de iluminação)</t>
  </si>
  <si>
    <t>✔ uso de argumentos explicando o perigo da situação</t>
  </si>
  <si>
    <t>✔ tentativa de solicitar providências</t>
  </si>
  <si>
    <t>ausência de assinatura</t>
  </si>
  <si>
    <t>estrutura da carta poderia ser mais completa</t>
  </si>
  <si>
    <t>pontuação ainda limitada</t>
  </si>
  <si>
    <t>apresenta problema e argumentação</t>
  </si>
  <si>
    <t>organiza ideias com coerência</t>
  </si>
  <si>
    <t>Precisa aprimorar estrutura formal da carta e revisão linguística.</t>
  </si>
  <si>
    <t>Você apresentou bem o problema da falta de iluminação e explicou por que isso pode ser perigoso. Seu texto mostra que você compreendeu o objetivo da carta de reclamação. Para melhorar ainda mais, procure incluir todas as partes da carta, como despedida e assinatura, e revisar a pontuação.</t>
  </si>
  <si>
    <t>(local, data, saudação, desenvolvimento, despedida e assinatura).</t>
  </si>
  <si>
    <t>3️⃣ Atividades de reescrita da carta.</t>
  </si>
  <si>
    <t>✔ boa compreensão do tema e da proposta de escrita</t>
  </si>
  <si>
    <t>⚠️ necessidade de aprimorar estrutura formal do gênero</t>
  </si>
  <si>
    <t>O estudante apresenta cabeçalho com escola, data e identificação, explica o problema (buracos na rua), porém não conclui com despedida ou assinatura.</t>
  </si>
  <si>
    <t>O aluno explica que há muitos buracos na rua, causando dificuldades para carros, motos e pessoas que passam pelo local.</t>
  </si>
  <si>
    <t>Existe tentativa de explicar consequências, mas o texto ainda é curto e pouco desenvolvido.</t>
  </si>
  <si>
    <t>A escrita é compreensível, porém apresenta desvios ortográficos e ausência de pontuação.</t>
  </si>
  <si>
    <t>✔ identificação de um problema real (buracos na rua)</t>
  </si>
  <si>
    <t>✔ organização mínima do texto</t>
  </si>
  <si>
    <t>Isso indica compreensão básica da proposta de escrita.</t>
  </si>
  <si>
    <t>estrutura da carta ainda incompleta</t>
  </si>
  <si>
    <t>compreende o problema e consegue expressar a ideia</t>
  </si>
  <si>
    <t>porém ainda apresenta dificuldade em organizar a carta completa e desenvolver argumentos.</t>
  </si>
  <si>
    <t>Você conseguiu explicar o problema dos buracos na rua e mostrar por que isso causa dificuldades para as pessoas. Para melhorar sua carta, tente organizar melhor o texto, incluir uma despedida e assinatura e utilizar pontuação para separar as ideias.</t>
  </si>
  <si>
    <t>1️⃣ Revisão da estrutura completa da carta.</t>
  </si>
  <si>
    <t>2️⃣ Atividades de pontuação básica.</t>
  </si>
  <si>
    <t>3️⃣ Exercícios de ampliação de argumentos (explicar melhor consequências do problema).</t>
  </si>
  <si>
    <t>✔ consegue identificar problemas e expressar ideias</t>
  </si>
  <si>
    <t>⚠️ dificuldade em estrutura formal do gênero e organização textual</t>
  </si>
  <si>
    <t>Indica nível básico de produção escrita para o 7º ano.</t>
  </si>
  <si>
    <t>A aluna inicia com “Carta de reclamação – Presidente/Diretora da escola” e explica o problema relacionado às aulas de matemática, solicitando mudança de professor.</t>
  </si>
  <si>
    <t>O texto apresenta progressão lógica:</t>
  </si>
  <si>
    <t>problema → explicação → pedido de solução.</t>
  </si>
  <si>
    <t>A aluna argumenta que os alunos não conseguem aprender e estão tendo dificuldades na disciplina.</t>
  </si>
  <si>
    <t>A escrita é compreensível e relativamente organizada, porém apresenta alguns desvios ortográficos e pontuação limitada.</t>
  </si>
  <si>
    <t>✔ identificação clara de um problema escolar</t>
  </si>
  <si>
    <t>✔ tentativa de argumentar sobre a dificuldade da turma</t>
  </si>
  <si>
    <t>✔ inclusão de destinatário e assinatura</t>
  </si>
  <si>
    <t>✔ pedido de providência (outro professor de matemática)</t>
  </si>
  <si>
    <t>Isso indica boa compreensão do gênero textual proposto.</t>
  </si>
  <si>
    <t>argumentação ainda pouco desenvolvida</t>
  </si>
  <si>
    <t>organização em parágrafos pode melhorar</t>
  </si>
  <si>
    <t>alguns desvios ortográficos</t>
  </si>
  <si>
    <t>compreende o gênero</t>
  </si>
  <si>
    <t>apresenta problema e solução</t>
  </si>
  <si>
    <t>organiza ideias com clareza</t>
  </si>
  <si>
    <t>Ainda precisa aprimorar aspectos formais da escrita e expansão argumentativa.</t>
  </si>
  <si>
    <t>Você conseguiu escrever uma carta clara explicando o problema das aulas e pedindo uma solução. Seu texto mostra que você compreendeu o objetivo da carta de reclamação. Para melhorar ainda mais, tente incluir local e data no início da carta e desenvolver um pouco mais seus argumentos.</t>
  </si>
  <si>
    <t>Sugestões de intervenção pedagógica:</t>
  </si>
  <si>
    <t>2️⃣ Atividades de ampliação de argumentos</t>
  </si>
  <si>
    <t>– explicar melhor as consequências do problema.</t>
  </si>
  <si>
    <t>✔ capacidade de argumentação inicial</t>
  </si>
  <si>
    <t>✔ comunicação clara da ideia</t>
  </si>
  <si>
    <t>O estudante organiza o texto como carta dirigida à diretora, apresentando cabeçalho e identificação da escola. A estrutura aparece, mas algumas partes ainda estão incompletas ou pouco desenvolvidas.</t>
  </si>
  <si>
    <t>O aluno relata um problema de barulho na escola, explicando que não consegue dormir porque há muito barulho. A ideia principal é compreensível, mas a argumentação poderia ser melhor desenvolvida.</t>
  </si>
  <si>
    <t>O texto é compreensível, porém apresenta alguns erros ortográficos e uso limitado de pontuação.</t>
  </si>
  <si>
    <t>✔ identificação de um problema concreto</t>
  </si>
  <si>
    <t>✔ tentativa de explicar o motivo da reclamação</t>
  </si>
  <si>
    <t>✔ organização básica do texto</t>
  </si>
  <si>
    <t>Isso indica entendimento inicial do gênero textual.</t>
  </si>
  <si>
    <t>desenvolver melhor os argumentos</t>
  </si>
  <si>
    <t>organizar o texto em parágrafos</t>
  </si>
  <si>
    <t>melhorar pontuação e ortografia</t>
  </si>
  <si>
    <t>tornar o pedido de solução mais claro</t>
  </si>
  <si>
    <t>O estudante compreende a proposta e apresenta o problema, porém ainda precisa desenvolver melhor:</t>
  </si>
  <si>
    <t>Você conseguiu explicar qual é o problema e demonstrou que entende para que serve uma carta de reclamação. Para melhorar seu texto, tente organizar melhor as ideias, usar pontuação e explicar com mais detalhes o que você gostaria que fosse resolvido.</t>
  </si>
  <si>
    <t>✔ consegue apresentar um problema</t>
  </si>
  <si>
    <t>⚠️ precisa desenvolver organização e ampliação das ideias</t>
  </si>
  <si>
    <t>O estudante apresenta estrutura muito próxima do modelo formal da carta, incluindo:</t>
  </si>
  <si>
    <t>cabeçalho com escola e data</t>
  </si>
  <si>
    <t>vocativo (“Sr. Roberto”)</t>
  </si>
  <si>
    <t>explicação do problema</t>
  </si>
  <si>
    <t>pedido de solução</t>
  </si>
  <si>
    <t>assinatura</t>
  </si>
  <si>
    <t>O aluno explica que a rua não tem iluminação, o que pode causar acidentes com pedestres e carros.</t>
  </si>
  <si>
    <t>Há boa relação entre problema e consequência, demonstrando raciocínio argumentativo.</t>
  </si>
  <si>
    <t>A escrita é compreensível e organizada, com pequenos desvios ortográficos e uso simples de pontuação.</t>
  </si>
  <si>
    <t>✔ compreensão clara da estrutura da carta de reclamação</t>
  </si>
  <si>
    <t>✔ identificação objetiva de um problema público (falta de iluminação)</t>
  </si>
  <si>
    <t>✔ uso de argumentos (risco de acidentes)</t>
  </si>
  <si>
    <t>✔ solicitação explícita de providência (colocar iluminação na rua)</t>
  </si>
  <si>
    <t>✔ organização coerente das ideias</t>
  </si>
  <si>
    <t>despedida poderia ser mais formal</t>
  </si>
  <si>
    <t>organiza bem as ideias</t>
  </si>
  <si>
    <t>Necessita apenas de pequenos ajustes linguísticos.</t>
  </si>
  <si>
    <t>Sua carta está bem organizada e apresenta claramente o problema e a solução que você sugere. Você explicou por que a situação é perigosa e pediu uma providência, o que mostra que compreendeu o objetivo da atividade. Para melhorar ainda mais, procure revisar a pontuação e a ortografia de algumas palavras.</t>
  </si>
  <si>
    <t>1️⃣ Revisão de pontuação básica.</t>
  </si>
  <si>
    <t>2️⃣ Atividades de revisão ortográfica.</t>
  </si>
  <si>
    <t>3️⃣ Exercícios de organização em parágrafos.</t>
  </si>
  <si>
    <t>✔ capacidade de argumentação lógica</t>
  </si>
  <si>
    <t>✔ organização clara das ideias</t>
  </si>
  <si>
    <t>Indica nível avançado de escrita para o 7º ano.</t>
  </si>
  <si>
    <t xml:space="preserve">Parcial / Básico </t>
  </si>
  <si>
    <t xml:space="preserve">Necessita Intervenção / Confusa / Frágil/  Ausente </t>
  </si>
  <si>
    <t>O aluno escreve sobre reclamações relacionadas à escola (principalmente quadra/campo) e menciona autoridades como prefeito e diretor, o que indica tentativa de direcionar a reclamação.</t>
  </si>
  <si>
    <t>O texto apresenta ideias compreensíveis, mas ocorre mistura de situações diferentes, o que dificulta a progressão lógica da reclamação.</t>
  </si>
  <si>
    <t>A escrita demonstra hipóteses fonéticas de escrita, comuns em alunos que ainda estão consolidando regras ortográficas.</t>
  </si>
  <si>
    <t>✔ compreensão da ideia de reclamar de um problema</t>
  </si>
  <si>
    <t>✔ tentativa de direcionar a reclamação a autoridades responsáveis</t>
  </si>
  <si>
    <t>✔ produção de texto com sentido geral compreensível</t>
  </si>
  <si>
    <t>✔ presença de assinatura ao final</t>
  </si>
  <si>
    <t>Isso indica que o aluno compreende parcialmente a finalidade do gênero.</t>
  </si>
  <si>
    <t>ausência de saudação/vocativo claro</t>
  </si>
  <si>
    <t>muitos desvios ortográficos</t>
  </si>
  <si>
    <t>compreende parcialmente a finalidade da carta</t>
  </si>
  <si>
    <t>consegue apresentar um problema</t>
  </si>
  <si>
    <t>mas ainda apresenta dificuldades na estrutura do gênero e na escrita normativa.</t>
  </si>
  <si>
    <t>Você conseguiu escrever sobre um problema e mostrar que deseja uma solução, o que é importante em uma carta de reclamação. Para melhorar seu texto, procure organizar melhor as ideias, explicar com mais clareza qual é o problema e utilizar as partes da carta, como local, data e saudação.</t>
  </si>
  <si>
    <t>📌 Trabalhar em aula:</t>
  </si>
  <si>
    <t>1️⃣ Estrutura da carta</t>
  </si>
  <si>
    <t>local e data</t>
  </si>
  <si>
    <t>saudação</t>
  </si>
  <si>
    <t>problema</t>
  </si>
  <si>
    <t>despedida</t>
  </si>
  <si>
    <t>2️⃣ Produção guiada</t>
  </si>
  <si>
    <t>completar modelo de carta</t>
  </si>
  <si>
    <t>3️⃣ Revisão ortográfica</t>
  </si>
  <si>
    <t>atividades de escrita com revisão coletiva</t>
  </si>
  <si>
    <t>4️⃣ Organização em parágrafos</t>
  </si>
  <si>
    <t>📈 DIAGNÓSTICO PEDAGÓGICO (importante para você)</t>
  </si>
  <si>
    <t>O texto indica um aluno com:</t>
  </si>
  <si>
    <t>boa intenção comunicativa</t>
  </si>
  <si>
    <t>baixo domínio das convenções da escrita</t>
  </si>
  <si>
    <t>necessidade de mediação na organização textual</t>
  </si>
  <si>
    <t>Isso não indica ausência de compreensão, mas fase inicial de consolidação da escrita formal.</t>
  </si>
  <si>
    <t>📊 NÍVEL DIAGNÓSTICO GERAL</t>
  </si>
  <si>
    <t>Avançado</t>
  </si>
  <si>
    <t xml:space="preserve"> Básico</t>
  </si>
  <si>
    <t>Inicial</t>
  </si>
  <si>
    <t>📌 INTERVENÇÕES NECESSÁRIAS</t>
  </si>
  <si>
    <t>☐ Reforço em estrutura do gênero</t>
  </si>
  <si>
    <t>☐ Trabalho com argumentação</t>
  </si>
  <si>
    <t>☐ Intervenção em ortografia</t>
  </si>
  <si>
    <t>☐ Revisão de pontuação</t>
  </si>
  <si>
    <t>☐ Produção orientada</t>
  </si>
  <si>
    <t>☐ Atendimento individual</t>
  </si>
  <si>
    <t>☐ Encaminhamento para AEE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</si>
</sst>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3" borderId="0" xfId="0" applyFill="1"/>
    <xf numFmtId="0" fontId="0" fillId="0" borderId="0" xfId="0" applyAlignment="1"/>
    <xf numFmtId="0" fontId="2" fillId="0" borderId="0" xfId="0" applyFont="1"/>
    <xf numFmtId="0" fontId="2" fillId="0" borderId="0" xfId="0" applyFont="1" applyAlignment="1">
      <alignment wrapText="1"/>
    </xf>
    <xf numFmtId="0" fontId="0" fillId="3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Fill="1"/>
    <xf numFmtId="0" fontId="0" fillId="0" borderId="0" xfId="0" applyFill="1" applyAlignment="1">
      <alignment wrapText="1"/>
    </xf>
    <xf numFmtId="0" fontId="0" fillId="0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Font="1"/>
  </cellXfs>
  <cellStyles count="1">
    <cellStyle name="Normal" xfId="0" builtinId="0"/>
  </cellStyles>
  <dxfs count="12"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FEEA2-E981-404C-91FD-58AAD4BC064F}">
  <dimension ref="A1:F116"/>
  <sheetViews>
    <sheetView topLeftCell="B1" workbookViewId="0">
      <selection activeCell="F15" sqref="F15"/>
    </sheetView>
  </sheetViews>
  <sheetFormatPr defaultRowHeight="15"/>
  <cols>
    <col min="1" max="1" width="30" customWidth="1"/>
    <col min="2" max="3" width="18" customWidth="1"/>
    <col min="4" max="4" width="21.140625" customWidth="1"/>
    <col min="5" max="6" width="18" customWidth="1"/>
  </cols>
  <sheetData>
    <row r="1" spans="1:6">
      <c r="A1" s="1" t="s">
        <v>0</v>
      </c>
    </row>
    <row r="2" spans="1:6">
      <c r="A2" s="1"/>
    </row>
    <row r="3" spans="1:6">
      <c r="A3" t="s">
        <v>1</v>
      </c>
      <c r="B3" s="4" t="s">
        <v>2</v>
      </c>
      <c r="C3" s="7" t="s">
        <v>3</v>
      </c>
      <c r="D3" s="5" t="s">
        <v>4</v>
      </c>
      <c r="E3" s="6" t="s">
        <v>5</v>
      </c>
      <c r="F3" t="s">
        <v>6</v>
      </c>
    </row>
    <row r="4" spans="1:6" ht="60.75">
      <c r="B4" s="2" t="s">
        <v>7</v>
      </c>
      <c r="C4" s="2" t="s">
        <v>8</v>
      </c>
      <c r="D4" s="2" t="s">
        <v>9</v>
      </c>
      <c r="E4" s="2" t="s">
        <v>10</v>
      </c>
    </row>
    <row r="5" spans="1:6">
      <c r="B5" s="2"/>
      <c r="C5" s="2"/>
      <c r="D5" s="2"/>
      <c r="E5" s="2"/>
    </row>
    <row r="6" spans="1:6">
      <c r="A6" s="9" t="s">
        <v>11</v>
      </c>
    </row>
    <row r="7" spans="1:6">
      <c r="A7" s="9"/>
      <c r="B7" s="15">
        <f>COUNTIF(B9:D31,TRUE)</f>
        <v>16</v>
      </c>
      <c r="C7" s="15"/>
      <c r="D7" s="15"/>
    </row>
    <row r="8" spans="1:6">
      <c r="A8" t="s">
        <v>12</v>
      </c>
      <c r="B8" s="15" t="s">
        <v>13</v>
      </c>
      <c r="C8" s="15" t="s">
        <v>14</v>
      </c>
      <c r="D8" s="15" t="s">
        <v>15</v>
      </c>
    </row>
    <row r="9" spans="1:6">
      <c r="A9" t="s">
        <v>16</v>
      </c>
      <c r="B9" s="17" t="b">
        <v>0</v>
      </c>
      <c r="C9" s="17" t="b">
        <v>0</v>
      </c>
      <c r="D9" s="17" t="b">
        <v>0</v>
      </c>
    </row>
    <row r="10" spans="1:6">
      <c r="A10" t="s">
        <v>17</v>
      </c>
      <c r="B10" s="17" t="b">
        <v>1</v>
      </c>
      <c r="C10" s="17" t="b">
        <v>0</v>
      </c>
      <c r="D10" s="17" t="b">
        <v>0</v>
      </c>
    </row>
    <row r="11" spans="1:6">
      <c r="A11" t="s">
        <v>18</v>
      </c>
      <c r="B11" s="17" t="b">
        <v>1</v>
      </c>
      <c r="C11" s="17" t="b">
        <v>0</v>
      </c>
      <c r="D11" s="17" t="b">
        <v>0</v>
      </c>
    </row>
    <row r="12" spans="1:6">
      <c r="A12" t="s">
        <v>19</v>
      </c>
      <c r="B12" s="17" t="b">
        <v>1</v>
      </c>
      <c r="C12" s="17" t="b">
        <v>0</v>
      </c>
      <c r="D12" s="17" t="b">
        <v>0</v>
      </c>
    </row>
    <row r="13" spans="1:6">
      <c r="A13" t="s">
        <v>20</v>
      </c>
      <c r="B13" s="17" t="b">
        <v>0</v>
      </c>
      <c r="C13" s="17" t="b">
        <v>1</v>
      </c>
      <c r="D13" s="17" t="b">
        <v>0</v>
      </c>
    </row>
    <row r="14" spans="1:6">
      <c r="A14" t="s">
        <v>21</v>
      </c>
      <c r="B14" s="17" t="b">
        <v>0</v>
      </c>
      <c r="C14" s="17" t="b">
        <v>1</v>
      </c>
      <c r="D14" s="17" t="b">
        <v>0</v>
      </c>
      <c r="E14" t="s">
        <v>22</v>
      </c>
      <c r="F14">
        <f>SUM(B6:D31)</f>
        <v>16</v>
      </c>
    </row>
    <row r="15" spans="1:6">
      <c r="A15" t="s">
        <v>23</v>
      </c>
      <c r="B15" s="17" t="b">
        <v>1</v>
      </c>
      <c r="C15" s="17" t="b">
        <v>0</v>
      </c>
      <c r="D15" s="17" t="b">
        <v>0</v>
      </c>
      <c r="E15" t="s">
        <v>24</v>
      </c>
      <c r="F15" s="5" t="str">
        <f>IF(F14&gt;=22,"Avançado",IF(F14&gt;=16,"Adequado",IF(F14&gt;=10,"Básico","Iniciante")))</f>
        <v>Adequado</v>
      </c>
    </row>
    <row r="16" spans="1:6">
      <c r="B16" s="15"/>
      <c r="C16" s="15"/>
      <c r="D16" s="15"/>
    </row>
    <row r="17" spans="1:4">
      <c r="A17" s="9" t="s">
        <v>25</v>
      </c>
      <c r="B17" s="15"/>
      <c r="C17" s="15"/>
      <c r="D17" s="15"/>
    </row>
    <row r="18" spans="1:4">
      <c r="A18" s="2"/>
      <c r="B18" s="15"/>
      <c r="C18" s="15"/>
      <c r="D18" s="15"/>
    </row>
    <row r="19" spans="1:4">
      <c r="A19" s="2" t="s">
        <v>1</v>
      </c>
      <c r="B19" s="15" t="s">
        <v>26</v>
      </c>
      <c r="C19" s="15" t="s">
        <v>14</v>
      </c>
      <c r="D19" s="15" t="s">
        <v>27</v>
      </c>
    </row>
    <row r="20" spans="1:4">
      <c r="A20" s="8" t="s">
        <v>28</v>
      </c>
      <c r="B20" s="17" t="b">
        <v>1</v>
      </c>
      <c r="C20" s="17" t="b">
        <v>0</v>
      </c>
      <c r="D20" s="17" t="b">
        <v>0</v>
      </c>
    </row>
    <row r="21" spans="1:4">
      <c r="A21" s="8" t="s">
        <v>29</v>
      </c>
      <c r="B21" s="17" t="b">
        <v>1</v>
      </c>
      <c r="C21" s="17" t="b">
        <v>1</v>
      </c>
      <c r="D21" s="17" t="b">
        <v>0</v>
      </c>
    </row>
    <row r="22" spans="1:4">
      <c r="A22" s="2" t="s">
        <v>30</v>
      </c>
      <c r="B22" s="17" t="b">
        <v>0</v>
      </c>
      <c r="C22" s="17" t="b">
        <v>1</v>
      </c>
      <c r="D22" s="17" t="b">
        <v>0</v>
      </c>
    </row>
    <row r="23" spans="1:4">
      <c r="A23" s="2" t="s">
        <v>31</v>
      </c>
      <c r="B23" s="17" t="b">
        <v>0</v>
      </c>
      <c r="C23" s="17" t="b">
        <v>1</v>
      </c>
      <c r="D23" s="17" t="b">
        <v>0</v>
      </c>
    </row>
    <row r="24" spans="1:4">
      <c r="A24" s="2"/>
      <c r="B24" s="15"/>
      <c r="C24" s="15"/>
      <c r="D24" s="15"/>
    </row>
    <row r="25" spans="1:4">
      <c r="A25" s="10" t="s">
        <v>32</v>
      </c>
      <c r="B25" s="15"/>
      <c r="C25" s="15"/>
      <c r="D25" s="15"/>
    </row>
    <row r="26" spans="1:4">
      <c r="B26" s="15"/>
      <c r="C26" s="15"/>
      <c r="D26" s="15"/>
    </row>
    <row r="27" spans="1:4" ht="30.75">
      <c r="A27" t="s">
        <v>1</v>
      </c>
      <c r="B27" s="15" t="s">
        <v>26</v>
      </c>
      <c r="C27" s="16" t="s">
        <v>33</v>
      </c>
      <c r="D27" s="15" t="s">
        <v>34</v>
      </c>
    </row>
    <row r="28" spans="1:4">
      <c r="A28" t="s">
        <v>35</v>
      </c>
      <c r="B28" s="17" t="b">
        <v>0</v>
      </c>
      <c r="C28" s="17" t="b">
        <v>1</v>
      </c>
      <c r="D28" s="17" t="b">
        <v>1</v>
      </c>
    </row>
    <row r="29" spans="1:4">
      <c r="A29" t="s">
        <v>6</v>
      </c>
      <c r="B29" s="17" t="b">
        <v>0</v>
      </c>
      <c r="C29" s="17" t="b">
        <v>0</v>
      </c>
      <c r="D29" s="17" t="b">
        <v>1</v>
      </c>
    </row>
    <row r="30" spans="1:4">
      <c r="A30" t="s">
        <v>36</v>
      </c>
      <c r="B30" s="17" t="b">
        <v>0</v>
      </c>
      <c r="C30" s="17" t="b">
        <v>1</v>
      </c>
      <c r="D30" s="17" t="b">
        <v>0</v>
      </c>
    </row>
    <row r="31" spans="1:4">
      <c r="A31" t="s">
        <v>37</v>
      </c>
      <c r="B31" s="17" t="b">
        <v>0</v>
      </c>
      <c r="C31" s="17" t="b">
        <v>1</v>
      </c>
      <c r="D31" s="17" t="b">
        <v>0</v>
      </c>
    </row>
    <row r="34" spans="1:5">
      <c r="A34" s="15"/>
      <c r="B34" s="15"/>
      <c r="C34" s="15"/>
      <c r="D34" s="15"/>
      <c r="E34" s="15"/>
    </row>
    <row r="35" spans="1:5">
      <c r="A35" s="15"/>
      <c r="B35" s="16"/>
      <c r="C35" s="16"/>
      <c r="D35" s="16"/>
      <c r="E35" s="16"/>
    </row>
    <row r="37" spans="1:5">
      <c r="A37" t="s">
        <v>38</v>
      </c>
    </row>
    <row r="38" spans="1:5">
      <c r="A38" t="s">
        <v>39</v>
      </c>
    </row>
    <row r="39" spans="1:5">
      <c r="A39" t="s">
        <v>1</v>
      </c>
      <c r="B39" t="s">
        <v>40</v>
      </c>
    </row>
    <row r="40" spans="1:5" ht="30.75">
      <c r="A40" s="2" t="s">
        <v>41</v>
      </c>
      <c r="B40" t="s">
        <v>42</v>
      </c>
    </row>
    <row r="41" spans="1:5">
      <c r="A41" t="s">
        <v>43</v>
      </c>
      <c r="B41" t="s">
        <v>42</v>
      </c>
    </row>
    <row r="42" spans="1:5">
      <c r="A42" t="s">
        <v>44</v>
      </c>
      <c r="B42" t="s">
        <v>42</v>
      </c>
    </row>
    <row r="43" spans="1:5">
      <c r="A43" t="s">
        <v>45</v>
      </c>
      <c r="B43" t="s">
        <v>42</v>
      </c>
    </row>
    <row r="45" spans="1:5">
      <c r="A45" t="s">
        <v>46</v>
      </c>
    </row>
    <row r="46" spans="1:5">
      <c r="A46" t="s">
        <v>47</v>
      </c>
    </row>
    <row r="47" spans="1:5">
      <c r="A47" t="s">
        <v>48</v>
      </c>
    </row>
    <row r="49" spans="1:2">
      <c r="A49" t="s">
        <v>49</v>
      </c>
    </row>
    <row r="50" spans="1:2">
      <c r="A50" t="s">
        <v>1</v>
      </c>
      <c r="B50" t="s">
        <v>40</v>
      </c>
    </row>
    <row r="51" spans="1:2">
      <c r="A51" t="s">
        <v>50</v>
      </c>
      <c r="B51" t="s">
        <v>51</v>
      </c>
    </row>
    <row r="52" spans="1:2">
      <c r="A52" t="s">
        <v>52</v>
      </c>
      <c r="B52" t="s">
        <v>53</v>
      </c>
    </row>
    <row r="53" spans="1:2">
      <c r="A53" t="s">
        <v>54</v>
      </c>
      <c r="B53" t="s">
        <v>55</v>
      </c>
    </row>
    <row r="55" spans="1:2">
      <c r="A55" t="s">
        <v>46</v>
      </c>
    </row>
    <row r="56" spans="1:2">
      <c r="A56" t="s">
        <v>56</v>
      </c>
    </row>
    <row r="57" spans="1:2">
      <c r="A57" t="s">
        <v>57</v>
      </c>
    </row>
    <row r="59" spans="1:2">
      <c r="A59" t="s">
        <v>58</v>
      </c>
    </row>
    <row r="60" spans="1:2">
      <c r="A60" t="s">
        <v>59</v>
      </c>
      <c r="B60" t="s">
        <v>40</v>
      </c>
    </row>
    <row r="61" spans="1:2">
      <c r="A61" t="s">
        <v>60</v>
      </c>
      <c r="B61" t="s">
        <v>53</v>
      </c>
    </row>
    <row r="62" spans="1:2">
      <c r="A62" t="s">
        <v>18</v>
      </c>
      <c r="B62" t="s">
        <v>51</v>
      </c>
    </row>
    <row r="63" spans="1:2">
      <c r="A63" t="s">
        <v>61</v>
      </c>
      <c r="B63" t="s">
        <v>53</v>
      </c>
    </row>
    <row r="64" spans="1:2">
      <c r="A64" t="s">
        <v>21</v>
      </c>
      <c r="B64" t="s">
        <v>53</v>
      </c>
    </row>
    <row r="65" spans="1:2">
      <c r="A65" t="s">
        <v>23</v>
      </c>
      <c r="B65" t="s">
        <v>51</v>
      </c>
    </row>
    <row r="67" spans="1:2">
      <c r="A67" t="s">
        <v>46</v>
      </c>
    </row>
    <row r="68" spans="1:2">
      <c r="A68" t="s">
        <v>62</v>
      </c>
    </row>
    <row r="70" spans="1:2">
      <c r="A70" t="s">
        <v>63</v>
      </c>
    </row>
    <row r="71" spans="1:2">
      <c r="A71" t="s">
        <v>1</v>
      </c>
      <c r="B71" t="s">
        <v>40</v>
      </c>
    </row>
    <row r="72" spans="1:2">
      <c r="A72" t="s">
        <v>35</v>
      </c>
      <c r="B72" t="s">
        <v>64</v>
      </c>
    </row>
    <row r="73" spans="1:2">
      <c r="A73" t="s">
        <v>6</v>
      </c>
      <c r="B73" t="s">
        <v>65</v>
      </c>
    </row>
    <row r="74" spans="1:2">
      <c r="A74" t="s">
        <v>66</v>
      </c>
      <c r="B74" t="s">
        <v>67</v>
      </c>
    </row>
    <row r="76" spans="1:2">
      <c r="A76" t="s">
        <v>68</v>
      </c>
    </row>
    <row r="77" spans="1:2">
      <c r="A77" t="s">
        <v>69</v>
      </c>
    </row>
    <row r="79" spans="1:2">
      <c r="A79" t="s">
        <v>70</v>
      </c>
    </row>
    <row r="80" spans="1:2">
      <c r="A80" t="s">
        <v>71</v>
      </c>
    </row>
    <row r="81" spans="1:1">
      <c r="A81" t="s">
        <v>72</v>
      </c>
    </row>
    <row r="82" spans="1:1">
      <c r="A82" t="s">
        <v>73</v>
      </c>
    </row>
    <row r="83" spans="1:1">
      <c r="A83" t="s">
        <v>74</v>
      </c>
    </row>
    <row r="84" spans="1:1">
      <c r="A84" t="s">
        <v>75</v>
      </c>
    </row>
    <row r="85" spans="1:1">
      <c r="A85" t="s">
        <v>76</v>
      </c>
    </row>
    <row r="86" spans="1:1">
      <c r="A86" t="s">
        <v>77</v>
      </c>
    </row>
    <row r="87" spans="1:1">
      <c r="A87" t="s">
        <v>78</v>
      </c>
    </row>
    <row r="88" spans="1:1">
      <c r="A88" t="s">
        <v>79</v>
      </c>
    </row>
    <row r="89" spans="1:1">
      <c r="A89" t="s">
        <v>80</v>
      </c>
    </row>
    <row r="90" spans="1:1">
      <c r="A90" t="s">
        <v>81</v>
      </c>
    </row>
    <row r="91" spans="1:1">
      <c r="A91" t="s">
        <v>82</v>
      </c>
    </row>
    <row r="92" spans="1:1">
      <c r="A92" t="s">
        <v>83</v>
      </c>
    </row>
    <row r="93" spans="1:1">
      <c r="A93" t="s">
        <v>84</v>
      </c>
    </row>
    <row r="94" spans="1:1">
      <c r="A94" t="s">
        <v>85</v>
      </c>
    </row>
    <row r="95" spans="1:1">
      <c r="A95" t="s">
        <v>86</v>
      </c>
    </row>
    <row r="96" spans="1:1">
      <c r="A96" t="s">
        <v>87</v>
      </c>
    </row>
    <row r="97" spans="1:1">
      <c r="A97" t="s">
        <v>88</v>
      </c>
    </row>
    <row r="98" spans="1:1">
      <c r="A98" t="s">
        <v>89</v>
      </c>
    </row>
    <row r="99" spans="1:1">
      <c r="A99" t="s">
        <v>90</v>
      </c>
    </row>
    <row r="100" spans="1:1">
      <c r="A100" t="s">
        <v>91</v>
      </c>
    </row>
    <row r="101" spans="1:1">
      <c r="A101" t="s">
        <v>92</v>
      </c>
    </row>
    <row r="102" spans="1:1">
      <c r="A102" t="s">
        <v>93</v>
      </c>
    </row>
    <row r="103" spans="1:1">
      <c r="A103" t="s">
        <v>94</v>
      </c>
    </row>
    <row r="104" spans="1:1">
      <c r="A104" t="s">
        <v>95</v>
      </c>
    </row>
    <row r="105" spans="1:1">
      <c r="A105" t="s">
        <v>96</v>
      </c>
    </row>
    <row r="106" spans="1:1">
      <c r="A106" t="s">
        <v>97</v>
      </c>
    </row>
    <row r="107" spans="1:1">
      <c r="A107" t="s">
        <v>98</v>
      </c>
    </row>
    <row r="108" spans="1:1">
      <c r="A108" t="s">
        <v>99</v>
      </c>
    </row>
    <row r="109" spans="1:1">
      <c r="A109" t="s">
        <v>100</v>
      </c>
    </row>
    <row r="110" spans="1:1">
      <c r="A110" t="s">
        <v>101</v>
      </c>
    </row>
    <row r="111" spans="1:1">
      <c r="A111" t="s">
        <v>102</v>
      </c>
    </row>
    <row r="112" spans="1:1">
      <c r="A112" t="s">
        <v>103</v>
      </c>
    </row>
    <row r="113" spans="1:1">
      <c r="A113" t="s">
        <v>104</v>
      </c>
    </row>
    <row r="114" spans="1:1">
      <c r="A114" t="s">
        <v>105</v>
      </c>
    </row>
    <row r="115" spans="1:1">
      <c r="A115" t="s">
        <v>106</v>
      </c>
    </row>
    <row r="116" spans="1:1">
      <c r="A116" t="s">
        <v>107</v>
      </c>
    </row>
  </sheetData>
  <conditionalFormatting sqref="F15">
    <cfRule type="containsText" dxfId="11" priority="7" operator="containsText" text="Iniciante">
      <formula>NOT(ISERROR(SEARCH("Iniciante",F15)))</formula>
    </cfRule>
  </conditionalFormatting>
  <conditionalFormatting sqref="F15">
    <cfRule type="containsText" dxfId="10" priority="6" operator="containsText" text="Básico ">
      <formula>NOT(ISERROR(SEARCH("Básico ",F15)))</formula>
    </cfRule>
  </conditionalFormatting>
  <conditionalFormatting sqref="F15">
    <cfRule type="containsText" dxfId="9" priority="1" operator="containsText" text="Adequado ">
      <formula>NOT(ISERROR(SEARCH("Adequado ",F15)))</formula>
    </cfRule>
    <cfRule type="containsText" dxfId="8" priority="5" operator="containsText" text="Adequado ">
      <formula>NOT(ISERROR(SEARCH("Adequado ",F15)))</formula>
    </cfRule>
  </conditionalFormatting>
  <conditionalFormatting sqref="F15">
    <cfRule type="containsText" dxfId="7" priority="2" operator="containsText" text="Avançado ">
      <formula>NOT(ISERROR(SEARCH("Avançado ",F15)))</formula>
    </cfRule>
    <cfRule type="containsText" dxfId="6" priority="3" operator="containsText" text="Avançado ">
      <formula>NOT(ISERROR(SEARCH("Avançado ",F15)))</formula>
    </cfRule>
    <cfRule type="containsText" dxfId="5" priority="4" operator="containsText" text="Avançado ">
      <formula>NOT(ISERROR(SEARCH("Avançado ",F15)))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F107-C816-4A87-90A9-FF9AD784D08E}">
  <dimension ref="A1:F70"/>
  <sheetViews>
    <sheetView topLeftCell="A6" workbookViewId="0">
      <selection activeCell="A39" sqref="A39:A70"/>
    </sheetView>
  </sheetViews>
  <sheetFormatPr defaultRowHeight="15"/>
  <cols>
    <col min="1" max="1" width="30" customWidth="1"/>
    <col min="2" max="3" width="18" customWidth="1"/>
    <col min="4" max="4" width="21.140625" customWidth="1"/>
    <col min="5" max="6" width="18" customWidth="1"/>
  </cols>
  <sheetData>
    <row r="1" spans="1:6">
      <c r="A1" s="1" t="s">
        <v>0</v>
      </c>
    </row>
    <row r="2" spans="1:6">
      <c r="A2" s="1"/>
    </row>
    <row r="3" spans="1:6">
      <c r="A3" t="s">
        <v>1</v>
      </c>
      <c r="B3" s="4" t="s">
        <v>2</v>
      </c>
      <c r="C3" s="7" t="s">
        <v>3</v>
      </c>
      <c r="D3" s="5" t="s">
        <v>4</v>
      </c>
      <c r="E3" s="6" t="s">
        <v>5</v>
      </c>
      <c r="F3" t="s">
        <v>6</v>
      </c>
    </row>
    <row r="4" spans="1:6" ht="60.75">
      <c r="B4" s="2" t="s">
        <v>7</v>
      </c>
      <c r="C4" s="2" t="s">
        <v>8</v>
      </c>
      <c r="D4" s="2" t="s">
        <v>9</v>
      </c>
      <c r="E4" s="2" t="s">
        <v>10</v>
      </c>
    </row>
    <row r="5" spans="1:6">
      <c r="B5" s="2"/>
      <c r="C5" s="2"/>
      <c r="D5" s="2"/>
      <c r="E5" s="2"/>
    </row>
    <row r="6" spans="1:6">
      <c r="A6" s="9" t="s">
        <v>11</v>
      </c>
    </row>
    <row r="7" spans="1:6">
      <c r="A7" s="9"/>
      <c r="B7">
        <f>COUNTIF(B9:D31,TRUE)</f>
        <v>15</v>
      </c>
    </row>
    <row r="8" spans="1:6">
      <c r="A8" t="s">
        <v>12</v>
      </c>
      <c r="B8" t="s">
        <v>13</v>
      </c>
      <c r="C8" t="s">
        <v>14</v>
      </c>
      <c r="D8" t="s">
        <v>15</v>
      </c>
    </row>
    <row r="9" spans="1:6">
      <c r="A9" t="s">
        <v>16</v>
      </c>
      <c r="B9" s="3" t="b">
        <v>0</v>
      </c>
      <c r="C9" s="3" t="b">
        <v>0</v>
      </c>
      <c r="D9" s="3" t="b">
        <v>1</v>
      </c>
    </row>
    <row r="10" spans="1:6">
      <c r="A10" t="s">
        <v>17</v>
      </c>
      <c r="B10" s="3" t="b">
        <v>0</v>
      </c>
      <c r="C10" s="3" t="b">
        <v>0</v>
      </c>
      <c r="D10" s="3" t="b">
        <v>1</v>
      </c>
    </row>
    <row r="11" spans="1:6">
      <c r="A11" t="s">
        <v>18</v>
      </c>
      <c r="B11" s="3" t="b">
        <v>1</v>
      </c>
      <c r="C11" s="3" t="b">
        <v>0</v>
      </c>
      <c r="D11" s="3" t="b">
        <v>0</v>
      </c>
    </row>
    <row r="12" spans="1:6">
      <c r="A12" t="s">
        <v>19</v>
      </c>
      <c r="B12" s="3" t="b">
        <v>0</v>
      </c>
      <c r="C12" s="3" t="b">
        <v>1</v>
      </c>
      <c r="D12" s="3" t="b">
        <v>0</v>
      </c>
    </row>
    <row r="13" spans="1:6">
      <c r="A13" t="s">
        <v>20</v>
      </c>
      <c r="B13" s="3" t="b">
        <v>0</v>
      </c>
      <c r="C13" s="3" t="b">
        <v>0</v>
      </c>
      <c r="D13" s="3" t="b">
        <v>1</v>
      </c>
    </row>
    <row r="14" spans="1:6">
      <c r="A14" t="s">
        <v>21</v>
      </c>
      <c r="B14" s="3" t="b">
        <v>0</v>
      </c>
      <c r="C14" s="3" t="b">
        <v>0</v>
      </c>
      <c r="D14" s="3" t="b">
        <v>1</v>
      </c>
      <c r="E14" t="s">
        <v>22</v>
      </c>
      <c r="F14">
        <f>SUM(B6:D31)</f>
        <v>15</v>
      </c>
    </row>
    <row r="15" spans="1:6">
      <c r="A15" t="s">
        <v>23</v>
      </c>
      <c r="B15" s="3" t="b">
        <v>0</v>
      </c>
      <c r="C15" s="3" t="b">
        <v>0</v>
      </c>
      <c r="D15" s="3" t="b">
        <v>1</v>
      </c>
      <c r="E15" t="s">
        <v>24</v>
      </c>
      <c r="F15" t="str">
        <f>IF(F14&gt;=22,"Avançado",IF(F14&gt;=16,"Adequado",IF(F14&gt;=10,"Básico","Iniciante")))</f>
        <v>Básico</v>
      </c>
    </row>
    <row r="16" spans="1:6">
      <c r="F16" t="s">
        <v>108</v>
      </c>
    </row>
    <row r="17" spans="1:4">
      <c r="A17" s="9" t="s">
        <v>25</v>
      </c>
    </row>
    <row r="18" spans="1:4">
      <c r="A18" s="2"/>
    </row>
    <row r="19" spans="1:4">
      <c r="A19" s="2" t="s">
        <v>1</v>
      </c>
      <c r="B19" t="s">
        <v>26</v>
      </c>
      <c r="C19" t="s">
        <v>14</v>
      </c>
      <c r="D19" t="s">
        <v>27</v>
      </c>
    </row>
    <row r="20" spans="1:4">
      <c r="A20" s="8" t="s">
        <v>28</v>
      </c>
      <c r="B20" s="3" t="b">
        <v>0</v>
      </c>
      <c r="C20" s="3" t="b">
        <v>1</v>
      </c>
      <c r="D20" s="3" t="b">
        <v>0</v>
      </c>
    </row>
    <row r="21" spans="1:4">
      <c r="A21" s="8" t="s">
        <v>29</v>
      </c>
      <c r="B21" s="3" t="b">
        <v>0</v>
      </c>
      <c r="C21" s="3" t="b">
        <v>1</v>
      </c>
      <c r="D21" s="3" t="b">
        <v>0</v>
      </c>
    </row>
    <row r="22" spans="1:4">
      <c r="A22" s="2" t="s">
        <v>30</v>
      </c>
      <c r="B22" s="3" t="b">
        <v>0</v>
      </c>
      <c r="C22" s="3" t="b">
        <v>0</v>
      </c>
      <c r="D22" s="3" t="b">
        <v>1</v>
      </c>
    </row>
    <row r="23" spans="1:4">
      <c r="A23" s="2" t="s">
        <v>31</v>
      </c>
      <c r="B23" s="3" t="b">
        <v>0</v>
      </c>
      <c r="C23" s="3" t="b">
        <v>0</v>
      </c>
      <c r="D23" s="3" t="b">
        <v>1</v>
      </c>
    </row>
    <row r="24" spans="1:4">
      <c r="A24" s="2"/>
    </row>
    <row r="25" spans="1:4">
      <c r="A25" s="10" t="s">
        <v>32</v>
      </c>
    </row>
    <row r="27" spans="1:4" ht="30.75">
      <c r="A27" t="s">
        <v>1</v>
      </c>
      <c r="B27" t="s">
        <v>26</v>
      </c>
      <c r="C27" s="16" t="s">
        <v>33</v>
      </c>
      <c r="D27" s="15" t="s">
        <v>34</v>
      </c>
    </row>
    <row r="28" spans="1:4">
      <c r="A28" t="s">
        <v>35</v>
      </c>
      <c r="B28" s="3" t="b">
        <v>0</v>
      </c>
      <c r="C28" s="3" t="b">
        <v>1</v>
      </c>
      <c r="D28" s="3" t="b">
        <v>0</v>
      </c>
    </row>
    <row r="29" spans="1:4">
      <c r="A29" t="s">
        <v>6</v>
      </c>
      <c r="B29" s="3" t="b">
        <v>0</v>
      </c>
      <c r="C29" s="3" t="b">
        <v>0</v>
      </c>
      <c r="D29" s="3" t="b">
        <v>1</v>
      </c>
    </row>
    <row r="30" spans="1:4">
      <c r="A30" t="s">
        <v>36</v>
      </c>
      <c r="B30" s="3" t="b">
        <v>0</v>
      </c>
      <c r="C30" s="3" t="b">
        <v>1</v>
      </c>
      <c r="D30" s="3" t="b">
        <v>0</v>
      </c>
    </row>
    <row r="31" spans="1:4">
      <c r="A31" t="s">
        <v>37</v>
      </c>
      <c r="B31" s="3" t="b">
        <v>0</v>
      </c>
      <c r="C31" s="3" t="b">
        <v>0</v>
      </c>
      <c r="D31" s="3" t="b">
        <v>1</v>
      </c>
    </row>
    <row r="33" spans="1:5">
      <c r="A33" t="s">
        <v>46</v>
      </c>
    </row>
    <row r="34" spans="1:5">
      <c r="A34" t="s">
        <v>109</v>
      </c>
    </row>
    <row r="36" spans="1:5">
      <c r="A36" t="s">
        <v>46</v>
      </c>
    </row>
    <row r="37" spans="1:5">
      <c r="A37" t="s">
        <v>110</v>
      </c>
    </row>
    <row r="39" spans="1:5">
      <c r="A39" t="s">
        <v>46</v>
      </c>
    </row>
    <row r="40" spans="1:5">
      <c r="A40" s="15" t="s">
        <v>111</v>
      </c>
      <c r="B40" s="15"/>
      <c r="C40" s="15"/>
      <c r="D40" s="15"/>
      <c r="E40" s="15"/>
    </row>
    <row r="41" spans="1:5">
      <c r="A41" s="15" t="s">
        <v>112</v>
      </c>
      <c r="B41" s="16"/>
      <c r="C41" s="16"/>
      <c r="D41" s="16"/>
      <c r="E41" s="16"/>
    </row>
    <row r="42" spans="1:5">
      <c r="A42" t="s">
        <v>71</v>
      </c>
    </row>
    <row r="43" spans="1:5">
      <c r="A43" t="s">
        <v>113</v>
      </c>
    </row>
    <row r="44" spans="1:5">
      <c r="A44" t="s">
        <v>114</v>
      </c>
    </row>
    <row r="45" spans="1:5">
      <c r="A45" t="s">
        <v>115</v>
      </c>
    </row>
    <row r="46" spans="1:5">
      <c r="A46" t="s">
        <v>116</v>
      </c>
    </row>
    <row r="47" spans="1:5">
      <c r="A47" t="s">
        <v>117</v>
      </c>
    </row>
    <row r="48" spans="1:5">
      <c r="A48" t="s">
        <v>118</v>
      </c>
    </row>
    <row r="49" spans="1:1">
      <c r="A49" t="s">
        <v>119</v>
      </c>
    </row>
    <row r="50" spans="1:1">
      <c r="A50" t="s">
        <v>120</v>
      </c>
    </row>
    <row r="51" spans="1:1">
      <c r="A51" t="s">
        <v>121</v>
      </c>
    </row>
    <row r="52" spans="1:1">
      <c r="A52" t="s">
        <v>122</v>
      </c>
    </row>
    <row r="53" spans="1:1">
      <c r="A53" t="s">
        <v>123</v>
      </c>
    </row>
    <row r="54" spans="1:1">
      <c r="A54" t="s">
        <v>124</v>
      </c>
    </row>
    <row r="55" spans="1:1">
      <c r="A55" t="s">
        <v>125</v>
      </c>
    </row>
    <row r="56" spans="1:1">
      <c r="A56" t="s">
        <v>84</v>
      </c>
    </row>
    <row r="57" spans="1:1">
      <c r="A57" t="s">
        <v>126</v>
      </c>
    </row>
    <row r="58" spans="1:1">
      <c r="A58" t="s">
        <v>127</v>
      </c>
    </row>
    <row r="59" spans="1:1">
      <c r="A59" t="s">
        <v>128</v>
      </c>
    </row>
    <row r="60" spans="1:1">
      <c r="A60" t="s">
        <v>129</v>
      </c>
    </row>
    <row r="61" spans="1:1">
      <c r="A61" t="s">
        <v>130</v>
      </c>
    </row>
    <row r="62" spans="1:1">
      <c r="A62" t="s">
        <v>131</v>
      </c>
    </row>
    <row r="63" spans="1:1">
      <c r="A63" t="s">
        <v>132</v>
      </c>
    </row>
    <row r="64" spans="1:1">
      <c r="A64" t="s">
        <v>133</v>
      </c>
    </row>
    <row r="65" spans="1:1">
      <c r="A65" t="s">
        <v>134</v>
      </c>
    </row>
    <row r="66" spans="1:1">
      <c r="A66" t="s">
        <v>135</v>
      </c>
    </row>
    <row r="67" spans="1:1">
      <c r="A67" t="s">
        <v>136</v>
      </c>
    </row>
    <row r="68" spans="1:1">
      <c r="A68" t="s">
        <v>137</v>
      </c>
    </row>
    <row r="69" spans="1:1">
      <c r="A69" t="s">
        <v>138</v>
      </c>
    </row>
    <row r="70" spans="1:1">
      <c r="A70" t="s">
        <v>139</v>
      </c>
    </row>
  </sheetData>
  <conditionalFormatting sqref="F15">
    <cfRule type="containsText" dxfId="4" priority="4" operator="containsText" text="Iniciante ">
      <formula>NOT(ISERROR(SEARCH("Iniciante ",F15)))</formula>
    </cfRule>
  </conditionalFormatting>
  <conditionalFormatting sqref="F15">
    <cfRule type="containsText" dxfId="3" priority="3" operator="containsText" text="Básico ">
      <formula>NOT(ISERROR(SEARCH("Básico ",F15)))</formula>
    </cfRule>
  </conditionalFormatting>
  <conditionalFormatting sqref="F15">
    <cfRule type="containsText" dxfId="2" priority="2" operator="containsText" text="Adequado ">
      <formula>NOT(ISERROR(SEARCH("Adequado ",F15)))</formula>
    </cfRule>
  </conditionalFormatting>
  <conditionalFormatting sqref="F15">
    <cfRule type="containsText" dxfId="1" priority="1" operator="containsText" text="Avançado ">
      <formula>NOT(ISERROR(SEARCH("Avançado ",F15)))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45F9-81A3-4C69-ABCA-B40E878438B8}">
  <dimension ref="A1:F75"/>
  <sheetViews>
    <sheetView topLeftCell="A12" workbookViewId="0">
      <selection activeCell="A40" sqref="A40:A75"/>
    </sheetView>
  </sheetViews>
  <sheetFormatPr defaultRowHeight="15"/>
  <cols>
    <col min="1" max="1" width="30" customWidth="1"/>
    <col min="2" max="3" width="18" customWidth="1"/>
    <col min="4" max="4" width="21.140625" customWidth="1"/>
    <col min="5" max="6" width="18" customWidth="1"/>
  </cols>
  <sheetData>
    <row r="1" spans="1:6">
      <c r="A1" s="1" t="s">
        <v>0</v>
      </c>
    </row>
    <row r="2" spans="1:6">
      <c r="A2" s="1"/>
    </row>
    <row r="3" spans="1:6">
      <c r="A3" t="s">
        <v>1</v>
      </c>
      <c r="B3" s="4" t="s">
        <v>2</v>
      </c>
      <c r="C3" s="7" t="s">
        <v>3</v>
      </c>
      <c r="D3" s="5" t="s">
        <v>4</v>
      </c>
      <c r="E3" s="6" t="s">
        <v>5</v>
      </c>
      <c r="F3" t="s">
        <v>6</v>
      </c>
    </row>
    <row r="4" spans="1:6" ht="60.75">
      <c r="B4" s="2" t="s">
        <v>7</v>
      </c>
      <c r="C4" s="2" t="s">
        <v>8</v>
      </c>
      <c r="D4" s="2" t="s">
        <v>9</v>
      </c>
      <c r="E4" s="2" t="s">
        <v>10</v>
      </c>
    </row>
    <row r="5" spans="1:6">
      <c r="B5" s="2"/>
      <c r="C5" s="2"/>
      <c r="D5" s="2"/>
      <c r="E5" s="2"/>
    </row>
    <row r="6" spans="1:6">
      <c r="A6" s="9" t="s">
        <v>11</v>
      </c>
    </row>
    <row r="7" spans="1:6">
      <c r="A7" s="9"/>
      <c r="B7">
        <f>COUNTIF(B9:D31,TRUE)</f>
        <v>15</v>
      </c>
    </row>
    <row r="8" spans="1:6">
      <c r="A8" t="s">
        <v>12</v>
      </c>
      <c r="B8" t="s">
        <v>13</v>
      </c>
      <c r="C8" t="s">
        <v>14</v>
      </c>
      <c r="D8" t="s">
        <v>15</v>
      </c>
    </row>
    <row r="9" spans="1:6">
      <c r="A9" t="s">
        <v>16</v>
      </c>
      <c r="B9" s="3" t="b">
        <v>1</v>
      </c>
      <c r="C9" s="3" t="b">
        <v>0</v>
      </c>
      <c r="D9" s="3" t="b">
        <v>0</v>
      </c>
    </row>
    <row r="10" spans="1:6">
      <c r="A10" t="s">
        <v>17</v>
      </c>
      <c r="B10" s="3" t="b">
        <v>1</v>
      </c>
      <c r="C10" s="3" t="b">
        <v>0</v>
      </c>
      <c r="D10" s="3" t="b">
        <v>0</v>
      </c>
    </row>
    <row r="11" spans="1:6">
      <c r="A11" t="s">
        <v>18</v>
      </c>
      <c r="B11" s="3" t="b">
        <v>1</v>
      </c>
      <c r="C11" s="3" t="b">
        <v>0</v>
      </c>
      <c r="D11" s="3" t="b">
        <v>0</v>
      </c>
    </row>
    <row r="12" spans="1:6">
      <c r="A12" t="s">
        <v>19</v>
      </c>
      <c r="B12" s="3" t="b">
        <v>0</v>
      </c>
      <c r="C12" s="3" t="b">
        <v>1</v>
      </c>
      <c r="D12" s="3" t="b">
        <v>0</v>
      </c>
    </row>
    <row r="13" spans="1:6">
      <c r="A13" t="s">
        <v>20</v>
      </c>
      <c r="B13" s="3" t="b">
        <v>0</v>
      </c>
      <c r="C13" s="3" t="b">
        <v>1</v>
      </c>
      <c r="D13" s="3" t="b">
        <v>0</v>
      </c>
    </row>
    <row r="14" spans="1:6">
      <c r="A14" t="s">
        <v>21</v>
      </c>
      <c r="B14" s="3" t="b">
        <v>0</v>
      </c>
      <c r="C14" s="3" t="b">
        <v>1</v>
      </c>
      <c r="D14" s="3" t="b">
        <v>0</v>
      </c>
      <c r="E14" t="s">
        <v>22</v>
      </c>
      <c r="F14">
        <f>SUM(B6:D31)</f>
        <v>15</v>
      </c>
    </row>
    <row r="15" spans="1:6">
      <c r="A15" t="s">
        <v>23</v>
      </c>
      <c r="B15" s="3" t="b">
        <v>1</v>
      </c>
      <c r="C15" s="3" t="b">
        <v>0</v>
      </c>
      <c r="D15" s="3" t="b">
        <v>0</v>
      </c>
      <c r="E15" t="s">
        <v>24</v>
      </c>
      <c r="F15" t="str">
        <f>IF(F14&gt;=22,"Avançado",IF(F14&gt;=16,"Adequado",IF(F14&gt;=10,"Básico","Iniciante")))</f>
        <v>Básico</v>
      </c>
    </row>
    <row r="16" spans="1:6">
      <c r="F16" t="s">
        <v>140</v>
      </c>
    </row>
    <row r="17" spans="1:4">
      <c r="A17" s="9" t="s">
        <v>25</v>
      </c>
    </row>
    <row r="18" spans="1:4">
      <c r="A18" s="2"/>
    </row>
    <row r="19" spans="1:4">
      <c r="A19" s="2" t="s">
        <v>1</v>
      </c>
      <c r="B19" t="s">
        <v>26</v>
      </c>
      <c r="C19" t="s">
        <v>14</v>
      </c>
      <c r="D19" t="s">
        <v>27</v>
      </c>
    </row>
    <row r="20" spans="1:4">
      <c r="A20" s="8" t="s">
        <v>28</v>
      </c>
      <c r="B20" s="3" t="b">
        <v>1</v>
      </c>
      <c r="C20" s="3" t="b">
        <v>0</v>
      </c>
      <c r="D20" s="3" t="b">
        <v>0</v>
      </c>
    </row>
    <row r="21" spans="1:4">
      <c r="A21" s="8" t="s">
        <v>29</v>
      </c>
      <c r="B21" s="3" t="b">
        <v>0</v>
      </c>
      <c r="C21" s="3" t="b">
        <v>1</v>
      </c>
      <c r="D21" s="3" t="b">
        <v>0</v>
      </c>
    </row>
    <row r="22" spans="1:4">
      <c r="A22" s="2" t="s">
        <v>30</v>
      </c>
      <c r="B22" s="3" t="b">
        <v>0</v>
      </c>
      <c r="C22" s="3" t="b">
        <v>1</v>
      </c>
      <c r="D22" s="3" t="b">
        <v>0</v>
      </c>
    </row>
    <row r="23" spans="1:4">
      <c r="A23" s="2" t="s">
        <v>31</v>
      </c>
      <c r="B23" s="3" t="b">
        <v>0</v>
      </c>
      <c r="C23" s="3" t="b">
        <v>0</v>
      </c>
      <c r="D23" s="3" t="b">
        <v>1</v>
      </c>
    </row>
    <row r="24" spans="1:4">
      <c r="A24" s="2"/>
    </row>
    <row r="25" spans="1:4">
      <c r="A25" s="10" t="s">
        <v>32</v>
      </c>
    </row>
    <row r="27" spans="1:4" ht="30.75">
      <c r="A27" t="s">
        <v>1</v>
      </c>
      <c r="B27" t="s">
        <v>26</v>
      </c>
      <c r="C27" s="16" t="s">
        <v>33</v>
      </c>
      <c r="D27" s="15" t="s">
        <v>34</v>
      </c>
    </row>
    <row r="28" spans="1:4">
      <c r="A28" t="s">
        <v>35</v>
      </c>
      <c r="B28" s="3" t="b">
        <v>0</v>
      </c>
      <c r="C28" s="3" t="b">
        <v>1</v>
      </c>
      <c r="D28" s="3" t="b">
        <v>0</v>
      </c>
    </row>
    <row r="29" spans="1:4">
      <c r="A29" t="s">
        <v>6</v>
      </c>
      <c r="B29" s="3" t="b">
        <v>0</v>
      </c>
      <c r="C29" s="3" t="b">
        <v>1</v>
      </c>
      <c r="D29" s="3" t="b">
        <v>0</v>
      </c>
    </row>
    <row r="30" spans="1:4">
      <c r="A30" t="s">
        <v>36</v>
      </c>
      <c r="B30" s="3" t="b">
        <v>0</v>
      </c>
      <c r="C30" s="3" t="b">
        <v>1</v>
      </c>
      <c r="D30" s="3" t="b">
        <v>0</v>
      </c>
    </row>
    <row r="31" spans="1:4">
      <c r="A31" t="s">
        <v>37</v>
      </c>
      <c r="B31" s="3" t="b">
        <v>0</v>
      </c>
      <c r="C31" s="3" t="b">
        <v>1</v>
      </c>
      <c r="D31" s="3" t="b">
        <v>0</v>
      </c>
    </row>
    <row r="33" spans="1:1">
      <c r="A33" t="s">
        <v>46</v>
      </c>
    </row>
    <row r="34" spans="1:1">
      <c r="A34" t="s">
        <v>141</v>
      </c>
    </row>
    <row r="36" spans="1:1">
      <c r="A36" t="s">
        <v>46</v>
      </c>
    </row>
    <row r="37" spans="1:1">
      <c r="A37" t="s">
        <v>142</v>
      </c>
    </row>
    <row r="38" spans="1:1">
      <c r="A38" t="s">
        <v>143</v>
      </c>
    </row>
    <row r="40" spans="1:1">
      <c r="A40" t="s">
        <v>46</v>
      </c>
    </row>
    <row r="41" spans="1:1">
      <c r="A41" t="s">
        <v>144</v>
      </c>
    </row>
    <row r="42" spans="1:1">
      <c r="A42" t="s">
        <v>112</v>
      </c>
    </row>
    <row r="43" spans="1:1">
      <c r="A43" t="s">
        <v>71</v>
      </c>
    </row>
    <row r="44" spans="1:1">
      <c r="A44" t="s">
        <v>145</v>
      </c>
    </row>
    <row r="45" spans="1:1">
      <c r="A45" t="s">
        <v>146</v>
      </c>
    </row>
    <row r="46" spans="1:1">
      <c r="A46" t="s">
        <v>147</v>
      </c>
    </row>
    <row r="47" spans="1:1">
      <c r="A47" t="s">
        <v>148</v>
      </c>
    </row>
    <row r="48" spans="1:1">
      <c r="A48" t="s">
        <v>149</v>
      </c>
    </row>
    <row r="49" spans="1:1">
      <c r="A49" t="s">
        <v>117</v>
      </c>
    </row>
    <row r="50" spans="1:1">
      <c r="A50" t="s">
        <v>150</v>
      </c>
    </row>
    <row r="51" spans="1:1">
      <c r="A51" t="s">
        <v>151</v>
      </c>
    </row>
    <row r="52" spans="1:1">
      <c r="A52" t="s">
        <v>152</v>
      </c>
    </row>
    <row r="53" spans="1:1">
      <c r="A53" t="s">
        <v>153</v>
      </c>
    </row>
    <row r="54" spans="1:1">
      <c r="A54" t="s">
        <v>123</v>
      </c>
    </row>
    <row r="55" spans="1:1">
      <c r="A55" t="s">
        <v>124</v>
      </c>
    </row>
    <row r="56" spans="1:1">
      <c r="A56" t="s">
        <v>154</v>
      </c>
    </row>
    <row r="57" spans="1:1">
      <c r="A57" t="s">
        <v>84</v>
      </c>
    </row>
    <row r="58" spans="1:1">
      <c r="A58" t="s">
        <v>155</v>
      </c>
    </row>
    <row r="59" spans="1:1">
      <c r="A59" t="s">
        <v>156</v>
      </c>
    </row>
    <row r="60" spans="1:1">
      <c r="A60" t="s">
        <v>157</v>
      </c>
    </row>
    <row r="61" spans="1:1">
      <c r="A61" t="s">
        <v>158</v>
      </c>
    </row>
    <row r="62" spans="1:1">
      <c r="A62" t="s">
        <v>159</v>
      </c>
    </row>
    <row r="63" spans="1:1">
      <c r="A63" t="s">
        <v>127</v>
      </c>
    </row>
    <row r="64" spans="1:1">
      <c r="A64" t="s">
        <v>160</v>
      </c>
    </row>
    <row r="65" spans="1:1">
      <c r="A65" t="s">
        <v>129</v>
      </c>
    </row>
    <row r="66" spans="1:1">
      <c r="A66" t="s">
        <v>130</v>
      </c>
    </row>
    <row r="67" spans="1:1">
      <c r="A67" t="s">
        <v>161</v>
      </c>
    </row>
    <row r="68" spans="1:1">
      <c r="A68" t="s">
        <v>162</v>
      </c>
    </row>
    <row r="69" spans="1:1">
      <c r="A69" t="s">
        <v>163</v>
      </c>
    </row>
    <row r="70" spans="1:1">
      <c r="A70" t="s">
        <v>135</v>
      </c>
    </row>
    <row r="71" spans="1:1">
      <c r="A71" t="s">
        <v>136</v>
      </c>
    </row>
    <row r="72" spans="1:1">
      <c r="A72" t="s">
        <v>164</v>
      </c>
    </row>
    <row r="73" spans="1:1">
      <c r="A73" t="s">
        <v>165</v>
      </c>
    </row>
    <row r="74" spans="1:1">
      <c r="A74" t="s">
        <v>166</v>
      </c>
    </row>
    <row r="75" spans="1:1">
      <c r="A75" t="s">
        <v>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90C69-A581-43DC-9C84-7437667290CF}">
  <dimension ref="A1:F68"/>
  <sheetViews>
    <sheetView topLeftCell="A4" workbookViewId="0">
      <selection activeCell="F18" sqref="F18"/>
    </sheetView>
  </sheetViews>
  <sheetFormatPr defaultRowHeight="15"/>
  <cols>
    <col min="1" max="1" width="30" customWidth="1"/>
    <col min="2" max="3" width="18" customWidth="1"/>
    <col min="4" max="4" width="21.140625" customWidth="1"/>
    <col min="5" max="6" width="18" customWidth="1"/>
  </cols>
  <sheetData>
    <row r="1" spans="1:6">
      <c r="A1" s="1" t="s">
        <v>0</v>
      </c>
    </row>
    <row r="2" spans="1:6">
      <c r="A2" s="1"/>
    </row>
    <row r="3" spans="1:6">
      <c r="A3" t="s">
        <v>1</v>
      </c>
      <c r="B3" s="4" t="s">
        <v>2</v>
      </c>
      <c r="C3" s="7" t="s">
        <v>3</v>
      </c>
      <c r="D3" s="5" t="s">
        <v>4</v>
      </c>
      <c r="E3" s="6" t="s">
        <v>5</v>
      </c>
      <c r="F3" t="s">
        <v>6</v>
      </c>
    </row>
    <row r="4" spans="1:6" ht="60.75">
      <c r="B4" s="2" t="s">
        <v>7</v>
      </c>
      <c r="C4" s="2" t="s">
        <v>8</v>
      </c>
      <c r="D4" s="2" t="s">
        <v>9</v>
      </c>
      <c r="E4" s="2" t="s">
        <v>10</v>
      </c>
    </row>
    <row r="5" spans="1:6">
      <c r="B5" s="2"/>
      <c r="C5" s="2"/>
      <c r="D5" s="2"/>
      <c r="E5" s="2"/>
    </row>
    <row r="6" spans="1:6">
      <c r="A6" s="9" t="s">
        <v>11</v>
      </c>
    </row>
    <row r="7" spans="1:6">
      <c r="A7" s="9"/>
      <c r="B7">
        <f>COUNTIF(B9:D31,TRUE)</f>
        <v>15</v>
      </c>
    </row>
    <row r="8" spans="1:6">
      <c r="A8" t="s">
        <v>12</v>
      </c>
      <c r="B8" t="s">
        <v>13</v>
      </c>
      <c r="C8" t="s">
        <v>14</v>
      </c>
      <c r="D8" t="s">
        <v>15</v>
      </c>
    </row>
    <row r="9" spans="1:6">
      <c r="A9" t="s">
        <v>16</v>
      </c>
      <c r="B9" s="3" t="b">
        <v>0</v>
      </c>
      <c r="C9" s="3" t="b">
        <v>1</v>
      </c>
      <c r="D9" s="3" t="b">
        <v>0</v>
      </c>
    </row>
    <row r="10" spans="1:6">
      <c r="A10" t="s">
        <v>17</v>
      </c>
      <c r="B10" s="3" t="b">
        <v>0</v>
      </c>
      <c r="C10" s="3" t="b">
        <v>1</v>
      </c>
      <c r="D10" s="3" t="b">
        <v>0</v>
      </c>
    </row>
    <row r="11" spans="1:6">
      <c r="A11" t="s">
        <v>18</v>
      </c>
      <c r="B11" s="3" t="b">
        <v>1</v>
      </c>
      <c r="C11" s="3" t="b">
        <v>0</v>
      </c>
      <c r="D11" s="3" t="b">
        <v>0</v>
      </c>
    </row>
    <row r="12" spans="1:6">
      <c r="A12" t="s">
        <v>19</v>
      </c>
      <c r="B12" s="3" t="b">
        <v>1</v>
      </c>
      <c r="C12" s="3" t="b">
        <v>0</v>
      </c>
      <c r="D12" s="3" t="b">
        <v>0</v>
      </c>
    </row>
    <row r="13" spans="1:6">
      <c r="A13" t="s">
        <v>20</v>
      </c>
      <c r="B13" s="3" t="b">
        <v>0</v>
      </c>
      <c r="C13" s="3" t="b">
        <v>1</v>
      </c>
      <c r="D13" s="3" t="b">
        <v>0</v>
      </c>
    </row>
    <row r="14" spans="1:6">
      <c r="A14" t="s">
        <v>21</v>
      </c>
      <c r="B14" s="3" t="b">
        <v>0</v>
      </c>
      <c r="C14" s="3" t="b">
        <v>1</v>
      </c>
      <c r="D14" s="3" t="b">
        <v>0</v>
      </c>
      <c r="E14" t="s">
        <v>22</v>
      </c>
      <c r="F14">
        <f>SUM(B6:D31)</f>
        <v>15</v>
      </c>
    </row>
    <row r="15" spans="1:6">
      <c r="A15" t="s">
        <v>23</v>
      </c>
      <c r="B15" s="3" t="b">
        <v>0</v>
      </c>
      <c r="C15" s="3" t="b">
        <v>1</v>
      </c>
      <c r="D15" s="3" t="b">
        <v>0</v>
      </c>
      <c r="E15" t="s">
        <v>24</v>
      </c>
      <c r="F15" t="str">
        <f>IF(F14&gt;=22,"Avançado",IF(F14&gt;=16,"Adequado",IF(F14&gt;=10,"Básico","Iniciante")))</f>
        <v>Básico</v>
      </c>
    </row>
    <row r="16" spans="1:6">
      <c r="F16" t="s">
        <v>140</v>
      </c>
    </row>
    <row r="17" spans="1:4">
      <c r="A17" s="9" t="s">
        <v>25</v>
      </c>
    </row>
    <row r="18" spans="1:4">
      <c r="A18" s="2"/>
    </row>
    <row r="19" spans="1:4">
      <c r="A19" s="2" t="s">
        <v>1</v>
      </c>
      <c r="B19" t="s">
        <v>26</v>
      </c>
      <c r="C19" t="s">
        <v>14</v>
      </c>
      <c r="D19" t="s">
        <v>27</v>
      </c>
    </row>
    <row r="20" spans="1:4">
      <c r="A20" s="8" t="s">
        <v>28</v>
      </c>
      <c r="B20" s="3" t="b">
        <v>1</v>
      </c>
      <c r="C20" s="3" t="b">
        <v>0</v>
      </c>
      <c r="D20" s="3" t="b">
        <v>0</v>
      </c>
    </row>
    <row r="21" spans="1:4">
      <c r="A21" s="8" t="s">
        <v>29</v>
      </c>
      <c r="B21" s="3" t="b">
        <v>1</v>
      </c>
      <c r="C21" s="3" t="b">
        <v>0</v>
      </c>
      <c r="D21" s="3" t="b">
        <v>0</v>
      </c>
    </row>
    <row r="22" spans="1:4">
      <c r="A22" s="2" t="s">
        <v>30</v>
      </c>
      <c r="B22" s="3" t="b">
        <v>1</v>
      </c>
      <c r="C22" s="3" t="b">
        <v>0</v>
      </c>
      <c r="D22" s="3" t="b">
        <v>0</v>
      </c>
    </row>
    <row r="23" spans="1:4">
      <c r="A23" s="2" t="s">
        <v>31</v>
      </c>
      <c r="B23" s="3" t="b">
        <v>0</v>
      </c>
      <c r="C23" s="3" t="b">
        <v>1</v>
      </c>
      <c r="D23" s="3" t="b">
        <v>0</v>
      </c>
    </row>
    <row r="24" spans="1:4">
      <c r="A24" s="2"/>
    </row>
    <row r="25" spans="1:4">
      <c r="A25" s="10" t="s">
        <v>32</v>
      </c>
    </row>
    <row r="27" spans="1:4" ht="30.75">
      <c r="A27" t="s">
        <v>1</v>
      </c>
      <c r="B27" t="s">
        <v>26</v>
      </c>
      <c r="C27" s="16" t="s">
        <v>33</v>
      </c>
      <c r="D27" s="15" t="s">
        <v>34</v>
      </c>
    </row>
    <row r="28" spans="1:4">
      <c r="A28" t="s">
        <v>35</v>
      </c>
      <c r="B28" s="3" t="b">
        <v>0</v>
      </c>
      <c r="C28" s="3" t="b">
        <v>1</v>
      </c>
      <c r="D28" s="3" t="b">
        <v>0</v>
      </c>
    </row>
    <row r="29" spans="1:4">
      <c r="A29" t="s">
        <v>6</v>
      </c>
      <c r="B29" s="3" t="b">
        <v>0</v>
      </c>
      <c r="C29" s="3" t="b">
        <v>1</v>
      </c>
      <c r="D29" s="3" t="b">
        <v>0</v>
      </c>
    </row>
    <row r="30" spans="1:4">
      <c r="A30" t="s">
        <v>36</v>
      </c>
      <c r="B30" s="3" t="b">
        <v>0</v>
      </c>
      <c r="C30" s="3" t="b">
        <v>1</v>
      </c>
      <c r="D30" s="3" t="b">
        <v>0</v>
      </c>
    </row>
    <row r="31" spans="1:4">
      <c r="A31" t="s">
        <v>37</v>
      </c>
      <c r="B31" s="3" t="b">
        <v>1</v>
      </c>
      <c r="C31" s="3" t="b">
        <v>0</v>
      </c>
      <c r="D31" s="3" t="b">
        <v>0</v>
      </c>
    </row>
    <row r="33" spans="1:1">
      <c r="A33" t="s">
        <v>46</v>
      </c>
    </row>
    <row r="34" spans="1:1">
      <c r="A34" t="s">
        <v>168</v>
      </c>
    </row>
    <row r="36" spans="1:1">
      <c r="A36" t="s">
        <v>46</v>
      </c>
    </row>
    <row r="37" spans="1:1">
      <c r="A37" t="s">
        <v>169</v>
      </c>
    </row>
    <row r="39" spans="1:1">
      <c r="A39" t="s">
        <v>46</v>
      </c>
    </row>
    <row r="40" spans="1:1">
      <c r="A40" t="s">
        <v>170</v>
      </c>
    </row>
    <row r="41" spans="1:1">
      <c r="A41" t="s">
        <v>112</v>
      </c>
    </row>
    <row r="42" spans="1:1">
      <c r="A42" t="s">
        <v>71</v>
      </c>
    </row>
    <row r="43" spans="1:1">
      <c r="A43" t="s">
        <v>171</v>
      </c>
    </row>
    <row r="44" spans="1:1">
      <c r="A44" t="s">
        <v>172</v>
      </c>
    </row>
    <row r="45" spans="1:1">
      <c r="A45" t="s">
        <v>173</v>
      </c>
    </row>
    <row r="46" spans="1:1">
      <c r="A46" t="s">
        <v>174</v>
      </c>
    </row>
    <row r="47" spans="1:1">
      <c r="A47" t="s">
        <v>149</v>
      </c>
    </row>
    <row r="48" spans="1:1">
      <c r="A48" t="s">
        <v>175</v>
      </c>
    </row>
    <row r="49" spans="1:1">
      <c r="A49" t="s">
        <v>176</v>
      </c>
    </row>
    <row r="50" spans="1:1">
      <c r="A50" t="s">
        <v>177</v>
      </c>
    </row>
    <row r="51" spans="1:1">
      <c r="A51" t="s">
        <v>178</v>
      </c>
    </row>
    <row r="52" spans="1:1">
      <c r="A52" t="s">
        <v>179</v>
      </c>
    </row>
    <row r="53" spans="1:1">
      <c r="A53" t="s">
        <v>124</v>
      </c>
    </row>
    <row r="54" spans="1:1">
      <c r="A54" t="s">
        <v>154</v>
      </c>
    </row>
    <row r="55" spans="1:1">
      <c r="A55" t="s">
        <v>84</v>
      </c>
    </row>
    <row r="56" spans="1:1">
      <c r="A56" t="s">
        <v>155</v>
      </c>
    </row>
    <row r="57" spans="1:1">
      <c r="A57" t="s">
        <v>156</v>
      </c>
    </row>
    <row r="58" spans="1:1">
      <c r="A58" t="s">
        <v>157</v>
      </c>
    </row>
    <row r="59" spans="1:1">
      <c r="A59" t="s">
        <v>180</v>
      </c>
    </row>
    <row r="60" spans="1:1">
      <c r="A60" t="s">
        <v>181</v>
      </c>
    </row>
    <row r="61" spans="1:1">
      <c r="A61" t="s">
        <v>182</v>
      </c>
    </row>
    <row r="62" spans="1:1">
      <c r="A62" t="s">
        <v>183</v>
      </c>
    </row>
    <row r="63" spans="1:1">
      <c r="A63" t="s">
        <v>135</v>
      </c>
    </row>
    <row r="64" spans="1:1">
      <c r="A64" t="s">
        <v>136</v>
      </c>
    </row>
    <row r="65" spans="1:1">
      <c r="A65" t="s">
        <v>184</v>
      </c>
    </row>
    <row r="66" spans="1:1">
      <c r="A66" t="s">
        <v>185</v>
      </c>
    </row>
    <row r="67" spans="1:1">
      <c r="A67" t="s">
        <v>186</v>
      </c>
    </row>
    <row r="68" spans="1:1">
      <c r="A68" t="s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C0453-985E-4621-8991-D414E8861B32}">
  <dimension ref="A1:F73"/>
  <sheetViews>
    <sheetView topLeftCell="A9" workbookViewId="0">
      <selection activeCell="A42" sqref="A42:A73"/>
    </sheetView>
  </sheetViews>
  <sheetFormatPr defaultRowHeight="15"/>
  <cols>
    <col min="1" max="1" width="30" customWidth="1"/>
    <col min="2" max="3" width="18" customWidth="1"/>
    <col min="4" max="4" width="21.140625" customWidth="1"/>
    <col min="5" max="6" width="18" customWidth="1"/>
  </cols>
  <sheetData>
    <row r="1" spans="1:6">
      <c r="A1" s="1" t="s">
        <v>0</v>
      </c>
    </row>
    <row r="2" spans="1:6">
      <c r="A2" s="1"/>
    </row>
    <row r="3" spans="1:6">
      <c r="A3" t="s">
        <v>1</v>
      </c>
      <c r="B3" s="4" t="s">
        <v>2</v>
      </c>
      <c r="C3" s="7" t="s">
        <v>3</v>
      </c>
      <c r="D3" s="5" t="s">
        <v>4</v>
      </c>
      <c r="E3" s="6" t="s">
        <v>5</v>
      </c>
      <c r="F3" t="s">
        <v>6</v>
      </c>
    </row>
    <row r="4" spans="1:6" ht="60.75">
      <c r="B4" s="2" t="s">
        <v>7</v>
      </c>
      <c r="C4" s="2" t="s">
        <v>8</v>
      </c>
      <c r="D4" s="2" t="s">
        <v>9</v>
      </c>
      <c r="E4" s="2" t="s">
        <v>10</v>
      </c>
    </row>
    <row r="5" spans="1:6">
      <c r="B5" s="2"/>
      <c r="C5" s="2"/>
      <c r="D5" s="2"/>
      <c r="E5" s="2"/>
    </row>
    <row r="6" spans="1:6">
      <c r="A6" s="9" t="s">
        <v>11</v>
      </c>
    </row>
    <row r="7" spans="1:6">
      <c r="A7" s="9"/>
      <c r="B7">
        <f>COUNTIF(B9:D31,TRUE)</f>
        <v>15</v>
      </c>
    </row>
    <row r="8" spans="1:6">
      <c r="A8" t="s">
        <v>12</v>
      </c>
      <c r="B8" t="s">
        <v>13</v>
      </c>
      <c r="C8" t="s">
        <v>14</v>
      </c>
      <c r="D8" t="s">
        <v>15</v>
      </c>
    </row>
    <row r="9" spans="1:6">
      <c r="A9" t="s">
        <v>16</v>
      </c>
      <c r="B9" s="3" t="b">
        <v>0</v>
      </c>
      <c r="C9" s="3" t="b">
        <v>1</v>
      </c>
      <c r="D9" s="3" t="b">
        <v>0</v>
      </c>
    </row>
    <row r="10" spans="1:6">
      <c r="A10" t="s">
        <v>17</v>
      </c>
      <c r="B10" s="3" t="b">
        <v>0</v>
      </c>
      <c r="C10" s="3" t="b">
        <v>1</v>
      </c>
      <c r="D10" s="3" t="b">
        <v>0</v>
      </c>
    </row>
    <row r="11" spans="1:6">
      <c r="A11" t="s">
        <v>18</v>
      </c>
      <c r="B11" s="3" t="b">
        <v>0</v>
      </c>
      <c r="C11" s="3" t="b">
        <v>1</v>
      </c>
      <c r="D11" s="3" t="b">
        <v>0</v>
      </c>
    </row>
    <row r="12" spans="1:6">
      <c r="A12" t="s">
        <v>19</v>
      </c>
      <c r="B12" s="3" t="b">
        <v>0</v>
      </c>
      <c r="C12" s="3" t="b">
        <v>1</v>
      </c>
      <c r="D12" s="3" t="b">
        <v>0</v>
      </c>
    </row>
    <row r="13" spans="1:6">
      <c r="A13" t="s">
        <v>20</v>
      </c>
      <c r="B13" s="3" t="b">
        <v>0</v>
      </c>
      <c r="C13" s="3" t="b">
        <v>1</v>
      </c>
      <c r="D13" s="3" t="b">
        <v>0</v>
      </c>
    </row>
    <row r="14" spans="1:6">
      <c r="A14" t="s">
        <v>21</v>
      </c>
      <c r="B14" s="3" t="b">
        <v>0</v>
      </c>
      <c r="C14" s="3" t="b">
        <v>0</v>
      </c>
      <c r="D14" s="3" t="b">
        <v>1</v>
      </c>
      <c r="E14" t="s">
        <v>22</v>
      </c>
      <c r="F14">
        <f>SUM(B6:D31)</f>
        <v>15</v>
      </c>
    </row>
    <row r="15" spans="1:6">
      <c r="A15" t="s">
        <v>23</v>
      </c>
      <c r="B15" s="3" t="b">
        <v>0</v>
      </c>
      <c r="C15" s="3" t="b">
        <v>1</v>
      </c>
      <c r="D15" s="3" t="b">
        <v>0</v>
      </c>
      <c r="E15" t="s">
        <v>24</v>
      </c>
      <c r="F15" t="str">
        <f>IF(F14&gt;=22,"Avançado",IF(F14&gt;=16,"Adequado",IF(F14&gt;=10,"Básico","Iniciante")))</f>
        <v>Básico</v>
      </c>
    </row>
    <row r="17" spans="1:4">
      <c r="A17" s="9" t="s">
        <v>25</v>
      </c>
    </row>
    <row r="18" spans="1:4">
      <c r="A18" s="2"/>
    </row>
    <row r="19" spans="1:4">
      <c r="A19" s="2" t="s">
        <v>1</v>
      </c>
      <c r="B19" t="s">
        <v>26</v>
      </c>
      <c r="C19" t="s">
        <v>14</v>
      </c>
      <c r="D19" t="s">
        <v>27</v>
      </c>
    </row>
    <row r="20" spans="1:4">
      <c r="A20" s="8" t="s">
        <v>28</v>
      </c>
      <c r="B20" s="3" t="b">
        <v>0</v>
      </c>
      <c r="C20" s="3" t="b">
        <v>1</v>
      </c>
      <c r="D20" s="3" t="b">
        <v>0</v>
      </c>
    </row>
    <row r="21" spans="1:4">
      <c r="A21" s="8" t="s">
        <v>29</v>
      </c>
      <c r="B21" s="3" t="b">
        <v>0</v>
      </c>
      <c r="C21" s="3" t="b">
        <v>1</v>
      </c>
      <c r="D21" s="3" t="b">
        <v>0</v>
      </c>
    </row>
    <row r="22" spans="1:4">
      <c r="A22" s="2" t="s">
        <v>30</v>
      </c>
      <c r="B22" s="3" t="b">
        <v>0</v>
      </c>
      <c r="C22" s="3" t="b">
        <v>1</v>
      </c>
      <c r="D22" s="3" t="b">
        <v>0</v>
      </c>
    </row>
    <row r="23" spans="1:4">
      <c r="A23" s="2" t="s">
        <v>31</v>
      </c>
      <c r="B23" s="3" t="b">
        <v>0</v>
      </c>
      <c r="C23" s="3" t="b">
        <v>0</v>
      </c>
      <c r="D23" s="3" t="b">
        <v>1</v>
      </c>
    </row>
    <row r="24" spans="1:4">
      <c r="A24" s="2"/>
    </row>
    <row r="25" spans="1:4">
      <c r="A25" s="10" t="s">
        <v>32</v>
      </c>
    </row>
    <row r="27" spans="1:4" ht="30.75">
      <c r="A27" t="s">
        <v>1</v>
      </c>
      <c r="B27" t="s">
        <v>26</v>
      </c>
      <c r="C27" s="16" t="s">
        <v>33</v>
      </c>
      <c r="D27" s="15" t="s">
        <v>34</v>
      </c>
    </row>
    <row r="28" spans="1:4">
      <c r="A28" t="s">
        <v>35</v>
      </c>
      <c r="B28" s="3" t="b">
        <v>0</v>
      </c>
      <c r="C28" s="3" t="b">
        <v>1</v>
      </c>
      <c r="D28" s="3" t="b">
        <v>0</v>
      </c>
    </row>
    <row r="29" spans="1:4">
      <c r="A29" t="s">
        <v>6</v>
      </c>
      <c r="B29" s="3" t="b">
        <v>0</v>
      </c>
      <c r="C29" s="3" t="b">
        <v>0</v>
      </c>
      <c r="D29" s="3" t="b">
        <v>1</v>
      </c>
    </row>
    <row r="30" spans="1:4">
      <c r="A30" t="s">
        <v>36</v>
      </c>
      <c r="B30" s="3" t="b">
        <v>0</v>
      </c>
      <c r="C30" s="3" t="b">
        <v>1</v>
      </c>
      <c r="D30" s="3" t="b">
        <v>0</v>
      </c>
    </row>
    <row r="31" spans="1:4">
      <c r="A31" t="s">
        <v>37</v>
      </c>
      <c r="B31" s="3" t="b">
        <v>0</v>
      </c>
      <c r="C31" s="3" t="b">
        <v>1</v>
      </c>
      <c r="D31" s="3" t="b">
        <v>0</v>
      </c>
    </row>
    <row r="33" spans="1:1">
      <c r="A33" t="s">
        <v>46</v>
      </c>
    </row>
    <row r="34" spans="1:1">
      <c r="A34" t="s">
        <v>188</v>
      </c>
    </row>
    <row r="36" spans="1:1">
      <c r="A36" t="s">
        <v>46</v>
      </c>
    </row>
    <row r="37" spans="1:1">
      <c r="A37" t="s">
        <v>189</v>
      </c>
    </row>
    <row r="39" spans="1:1">
      <c r="A39" t="s">
        <v>46</v>
      </c>
    </row>
    <row r="40" spans="1:1">
      <c r="A40" t="s">
        <v>190</v>
      </c>
    </row>
    <row r="42" spans="1:1">
      <c r="A42" t="s">
        <v>112</v>
      </c>
    </row>
    <row r="43" spans="1:1">
      <c r="A43" t="s">
        <v>71</v>
      </c>
    </row>
    <row r="44" spans="1:1">
      <c r="A44" t="s">
        <v>191</v>
      </c>
    </row>
    <row r="45" spans="1:1">
      <c r="A45" t="s">
        <v>192</v>
      </c>
    </row>
    <row r="46" spans="1:1">
      <c r="A46" t="s">
        <v>193</v>
      </c>
    </row>
    <row r="47" spans="1:1">
      <c r="A47" t="s">
        <v>194</v>
      </c>
    </row>
    <row r="48" spans="1:1">
      <c r="A48" t="s">
        <v>117</v>
      </c>
    </row>
    <row r="49" spans="1:1">
      <c r="A49" t="s">
        <v>195</v>
      </c>
    </row>
    <row r="50" spans="1:1">
      <c r="A50" t="s">
        <v>196</v>
      </c>
    </row>
    <row r="51" spans="1:1">
      <c r="A51" t="s">
        <v>197</v>
      </c>
    </row>
    <row r="52" spans="1:1">
      <c r="A52" t="s">
        <v>198</v>
      </c>
    </row>
    <row r="53" spans="1:1">
      <c r="A53" t="s">
        <v>150</v>
      </c>
    </row>
    <row r="54" spans="1:1">
      <c r="A54" t="s">
        <v>199</v>
      </c>
    </row>
    <row r="55" spans="1:1">
      <c r="A55" t="s">
        <v>123</v>
      </c>
    </row>
    <row r="56" spans="1:1">
      <c r="A56" t="s">
        <v>124</v>
      </c>
    </row>
    <row r="57" spans="1:1">
      <c r="A57" t="s">
        <v>200</v>
      </c>
    </row>
    <row r="58" spans="1:1">
      <c r="A58" t="s">
        <v>84</v>
      </c>
    </row>
    <row r="59" spans="1:1">
      <c r="A59" t="s">
        <v>201</v>
      </c>
    </row>
    <row r="60" spans="1:1">
      <c r="A60" t="s">
        <v>127</v>
      </c>
    </row>
    <row r="61" spans="1:1">
      <c r="A61" t="s">
        <v>202</v>
      </c>
    </row>
    <row r="62" spans="1:1">
      <c r="A62" t="s">
        <v>129</v>
      </c>
    </row>
    <row r="63" spans="1:1">
      <c r="A63" t="s">
        <v>130</v>
      </c>
    </row>
    <row r="64" spans="1:1">
      <c r="A64" t="s">
        <v>203</v>
      </c>
    </row>
    <row r="65" spans="1:1">
      <c r="A65" t="s">
        <v>204</v>
      </c>
    </row>
    <row r="66" spans="1:1">
      <c r="A66" t="s">
        <v>205</v>
      </c>
    </row>
    <row r="67" spans="1:1">
      <c r="A67" t="s">
        <v>206</v>
      </c>
    </row>
    <row r="68" spans="1:1">
      <c r="A68" t="s">
        <v>135</v>
      </c>
    </row>
    <row r="69" spans="1:1">
      <c r="A69" t="s">
        <v>136</v>
      </c>
    </row>
    <row r="70" spans="1:1">
      <c r="A70" t="s">
        <v>207</v>
      </c>
    </row>
    <row r="71" spans="1:1">
      <c r="A71" t="s">
        <v>208</v>
      </c>
    </row>
    <row r="72" spans="1:1">
      <c r="A72" t="s">
        <v>209</v>
      </c>
    </row>
    <row r="73" spans="1:1">
      <c r="A73" t="s">
        <v>210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EE2BA-0EDD-4E0A-ACF8-746DC9D5CDF6}">
  <dimension ref="A1:F70"/>
  <sheetViews>
    <sheetView topLeftCell="A3" workbookViewId="0">
      <selection activeCell="C15" sqref="C15"/>
    </sheetView>
  </sheetViews>
  <sheetFormatPr defaultRowHeight="15"/>
  <cols>
    <col min="1" max="1" width="30" customWidth="1"/>
    <col min="2" max="3" width="18" customWidth="1"/>
    <col min="4" max="4" width="21.140625" customWidth="1"/>
    <col min="5" max="6" width="18" customWidth="1"/>
  </cols>
  <sheetData>
    <row r="1" spans="1:6">
      <c r="A1" s="1" t="s">
        <v>0</v>
      </c>
    </row>
    <row r="2" spans="1:6">
      <c r="A2" s="1"/>
    </row>
    <row r="3" spans="1:6">
      <c r="A3" t="s">
        <v>1</v>
      </c>
      <c r="B3" s="4" t="s">
        <v>2</v>
      </c>
      <c r="C3" s="7" t="s">
        <v>3</v>
      </c>
      <c r="D3" s="5" t="s">
        <v>4</v>
      </c>
      <c r="E3" s="6" t="s">
        <v>5</v>
      </c>
      <c r="F3" t="s">
        <v>6</v>
      </c>
    </row>
    <row r="4" spans="1:6" ht="60.75">
      <c r="B4" s="2" t="s">
        <v>7</v>
      </c>
      <c r="C4" s="2" t="s">
        <v>8</v>
      </c>
      <c r="D4" s="2" t="s">
        <v>9</v>
      </c>
      <c r="E4" s="2" t="s">
        <v>10</v>
      </c>
    </row>
    <row r="5" spans="1:6">
      <c r="B5" s="2"/>
      <c r="C5" s="2"/>
      <c r="D5" s="2"/>
      <c r="E5" s="2"/>
    </row>
    <row r="6" spans="1:6">
      <c r="A6" s="9" t="s">
        <v>11</v>
      </c>
    </row>
    <row r="7" spans="1:6">
      <c r="A7" s="9"/>
      <c r="B7">
        <f>COUNTIF(B9:D31,TRUE)</f>
        <v>15</v>
      </c>
    </row>
    <row r="8" spans="1:6">
      <c r="A8" t="s">
        <v>12</v>
      </c>
      <c r="B8" t="s">
        <v>13</v>
      </c>
      <c r="C8" t="s">
        <v>14</v>
      </c>
      <c r="D8" t="s">
        <v>15</v>
      </c>
    </row>
    <row r="9" spans="1:6">
      <c r="A9" t="s">
        <v>16</v>
      </c>
      <c r="B9" s="3" t="b">
        <v>0</v>
      </c>
      <c r="C9" s="3" t="b">
        <v>1</v>
      </c>
      <c r="D9" s="3" t="b">
        <v>0</v>
      </c>
    </row>
    <row r="10" spans="1:6">
      <c r="A10" t="s">
        <v>17</v>
      </c>
      <c r="B10" s="3" t="b">
        <v>0</v>
      </c>
      <c r="C10" s="3" t="b">
        <v>1</v>
      </c>
      <c r="D10" s="3" t="b">
        <v>0</v>
      </c>
    </row>
    <row r="11" spans="1:6">
      <c r="A11" t="s">
        <v>18</v>
      </c>
      <c r="B11" s="3" t="b">
        <v>1</v>
      </c>
      <c r="C11" s="3" t="b">
        <v>0</v>
      </c>
      <c r="D11" s="3" t="b">
        <v>0</v>
      </c>
    </row>
    <row r="12" spans="1:6">
      <c r="A12" t="s">
        <v>19</v>
      </c>
      <c r="B12" s="3" t="b">
        <v>0</v>
      </c>
      <c r="C12" s="3" t="b">
        <v>1</v>
      </c>
      <c r="D12" s="3" t="b">
        <v>0</v>
      </c>
    </row>
    <row r="13" spans="1:6">
      <c r="A13" t="s">
        <v>20</v>
      </c>
      <c r="B13" s="3" t="b">
        <v>0</v>
      </c>
      <c r="C13" s="3" t="b">
        <v>0</v>
      </c>
      <c r="D13" s="3" t="b">
        <v>1</v>
      </c>
    </row>
    <row r="14" spans="1:6">
      <c r="A14" t="s">
        <v>21</v>
      </c>
      <c r="B14" s="3" t="b">
        <v>0</v>
      </c>
      <c r="C14" s="3" t="b">
        <v>0</v>
      </c>
      <c r="D14" s="3" t="b">
        <v>1</v>
      </c>
      <c r="E14" t="s">
        <v>22</v>
      </c>
      <c r="F14">
        <f>SUM(B6:D31)</f>
        <v>15</v>
      </c>
    </row>
    <row r="15" spans="1:6">
      <c r="A15" t="s">
        <v>23</v>
      </c>
      <c r="B15" s="3" t="b">
        <v>0</v>
      </c>
      <c r="C15" s="3" t="b">
        <v>1</v>
      </c>
      <c r="D15" s="3" t="b">
        <v>0</v>
      </c>
      <c r="E15" t="s">
        <v>24</v>
      </c>
      <c r="F15" t="str">
        <f>IF(F14&gt;=22,"Avançado",IF(F14&gt;=16,"Adequado",IF(F14&gt;=10,"Básico","Iniciante")))</f>
        <v>Básico</v>
      </c>
    </row>
    <row r="17" spans="1:4">
      <c r="A17" s="9" t="s">
        <v>25</v>
      </c>
    </row>
    <row r="18" spans="1:4">
      <c r="A18" s="2"/>
    </row>
    <row r="19" spans="1:4">
      <c r="A19" s="2" t="s">
        <v>1</v>
      </c>
      <c r="B19" t="s">
        <v>26</v>
      </c>
      <c r="C19" t="s">
        <v>14</v>
      </c>
      <c r="D19" t="s">
        <v>27</v>
      </c>
    </row>
    <row r="20" spans="1:4">
      <c r="A20" s="8" t="s">
        <v>28</v>
      </c>
      <c r="B20" s="3" t="b">
        <v>1</v>
      </c>
      <c r="C20" s="3" t="b">
        <v>0</v>
      </c>
      <c r="D20" s="3" t="b">
        <v>0</v>
      </c>
    </row>
    <row r="21" spans="1:4">
      <c r="A21" s="8" t="s">
        <v>29</v>
      </c>
      <c r="B21" s="3" t="b">
        <v>0</v>
      </c>
      <c r="C21" s="3" t="b">
        <v>1</v>
      </c>
      <c r="D21" s="3" t="b">
        <v>0</v>
      </c>
    </row>
    <row r="22" spans="1:4">
      <c r="A22" s="2" t="s">
        <v>30</v>
      </c>
      <c r="B22" s="3" t="b">
        <v>0</v>
      </c>
      <c r="C22" s="3" t="b">
        <v>1</v>
      </c>
      <c r="D22" s="3" t="b">
        <v>0</v>
      </c>
    </row>
    <row r="23" spans="1:4">
      <c r="A23" s="2" t="s">
        <v>31</v>
      </c>
      <c r="B23" s="3" t="b">
        <v>0</v>
      </c>
      <c r="C23" s="3" t="b">
        <v>0</v>
      </c>
      <c r="D23" s="3" t="b">
        <v>1</v>
      </c>
    </row>
    <row r="24" spans="1:4">
      <c r="A24" s="2"/>
    </row>
    <row r="25" spans="1:4">
      <c r="A25" s="10" t="s">
        <v>32</v>
      </c>
    </row>
    <row r="27" spans="1:4" ht="30.75">
      <c r="A27" t="s">
        <v>1</v>
      </c>
      <c r="B27" t="s">
        <v>26</v>
      </c>
      <c r="C27" s="16" t="s">
        <v>33</v>
      </c>
      <c r="D27" s="15" t="s">
        <v>34</v>
      </c>
    </row>
    <row r="28" spans="1:4">
      <c r="A28" t="s">
        <v>35</v>
      </c>
      <c r="B28" s="3" t="b">
        <v>0</v>
      </c>
      <c r="C28" s="3" t="b">
        <v>1</v>
      </c>
      <c r="D28" s="3" t="b">
        <v>0</v>
      </c>
    </row>
    <row r="29" spans="1:4">
      <c r="A29" t="s">
        <v>6</v>
      </c>
      <c r="B29" s="3" t="b">
        <v>0</v>
      </c>
      <c r="C29" s="3" t="b">
        <v>0</v>
      </c>
      <c r="D29" s="3" t="b">
        <v>1</v>
      </c>
    </row>
    <row r="30" spans="1:4">
      <c r="A30" t="s">
        <v>36</v>
      </c>
      <c r="B30" s="3" t="b">
        <v>0</v>
      </c>
      <c r="C30" s="3" t="b">
        <v>1</v>
      </c>
      <c r="D30" s="3" t="b">
        <v>0</v>
      </c>
    </row>
    <row r="31" spans="1:4">
      <c r="A31" t="s">
        <v>37</v>
      </c>
      <c r="B31" s="3" t="b">
        <v>0</v>
      </c>
      <c r="C31" s="3" t="b">
        <v>1</v>
      </c>
      <c r="D31" s="3" t="b">
        <v>0</v>
      </c>
    </row>
    <row r="33" spans="1:1">
      <c r="A33" t="s">
        <v>46</v>
      </c>
    </row>
    <row r="34" spans="1:1">
      <c r="A34" t="s">
        <v>211</v>
      </c>
    </row>
    <row r="36" spans="1:1">
      <c r="A36" t="s">
        <v>46</v>
      </c>
    </row>
    <row r="37" spans="1:1">
      <c r="A37" t="s">
        <v>212</v>
      </c>
    </row>
    <row r="39" spans="1:1">
      <c r="A39" t="s">
        <v>46</v>
      </c>
    </row>
    <row r="40" spans="1:1">
      <c r="A40" t="s">
        <v>213</v>
      </c>
    </row>
    <row r="41" spans="1:1">
      <c r="A41" t="s">
        <v>112</v>
      </c>
    </row>
    <row r="42" spans="1:1">
      <c r="A42" t="s">
        <v>71</v>
      </c>
    </row>
    <row r="43" spans="1:1">
      <c r="A43" t="s">
        <v>214</v>
      </c>
    </row>
    <row r="44" spans="1:1">
      <c r="A44" t="s">
        <v>215</v>
      </c>
    </row>
    <row r="45" spans="1:1">
      <c r="A45" t="s">
        <v>216</v>
      </c>
    </row>
    <row r="46" spans="1:1">
      <c r="A46" t="s">
        <v>217</v>
      </c>
    </row>
    <row r="47" spans="1:1">
      <c r="A47" t="s">
        <v>175</v>
      </c>
    </row>
    <row r="48" spans="1:1">
      <c r="A48" t="s">
        <v>218</v>
      </c>
    </row>
    <row r="49" spans="1:1">
      <c r="A49" t="s">
        <v>219</v>
      </c>
    </row>
    <row r="50" spans="1:1">
      <c r="A50" t="s">
        <v>220</v>
      </c>
    </row>
    <row r="51" spans="1:1">
      <c r="A51" t="s">
        <v>221</v>
      </c>
    </row>
    <row r="52" spans="1:1">
      <c r="A52" t="s">
        <v>179</v>
      </c>
    </row>
    <row r="53" spans="1:1">
      <c r="A53" t="s">
        <v>124</v>
      </c>
    </row>
    <row r="54" spans="1:1">
      <c r="A54" t="s">
        <v>200</v>
      </c>
    </row>
    <row r="55" spans="1:1">
      <c r="A55" t="s">
        <v>84</v>
      </c>
    </row>
    <row r="56" spans="1:1">
      <c r="A56" t="s">
        <v>155</v>
      </c>
    </row>
    <row r="57" spans="1:1">
      <c r="A57" t="s">
        <v>222</v>
      </c>
    </row>
    <row r="58" spans="1:1">
      <c r="A58" t="s">
        <v>223</v>
      </c>
    </row>
    <row r="59" spans="1:1">
      <c r="A59" t="s">
        <v>224</v>
      </c>
    </row>
    <row r="60" spans="1:1">
      <c r="A60" t="s">
        <v>98</v>
      </c>
    </row>
    <row r="61" spans="1:1">
      <c r="A61" t="s">
        <v>225</v>
      </c>
    </row>
    <row r="62" spans="1:1">
      <c r="A62" t="s">
        <v>226</v>
      </c>
    </row>
    <row r="63" spans="1:1">
      <c r="A63" t="s">
        <v>182</v>
      </c>
    </row>
    <row r="64" spans="1:1">
      <c r="A64" t="s">
        <v>227</v>
      </c>
    </row>
    <row r="65" spans="1:1">
      <c r="A65" t="s">
        <v>135</v>
      </c>
    </row>
    <row r="66" spans="1:1">
      <c r="A66" t="s">
        <v>136</v>
      </c>
    </row>
    <row r="67" spans="1:1">
      <c r="A67" t="s">
        <v>228</v>
      </c>
    </row>
    <row r="68" spans="1:1">
      <c r="A68" t="s">
        <v>229</v>
      </c>
    </row>
    <row r="69" spans="1:1">
      <c r="A69" t="s">
        <v>230</v>
      </c>
    </row>
    <row r="70" spans="1:1">
      <c r="A70" t="s">
        <v>231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FEE1-E1E4-4503-83A7-347F35A09AF6}">
  <dimension ref="A1:F75"/>
  <sheetViews>
    <sheetView topLeftCell="A7" workbookViewId="0">
      <selection activeCell="A39" sqref="A39:A75"/>
    </sheetView>
  </sheetViews>
  <sheetFormatPr defaultRowHeight="15"/>
  <cols>
    <col min="1" max="1" width="30" customWidth="1"/>
    <col min="2" max="3" width="18" customWidth="1"/>
    <col min="4" max="4" width="21.140625" customWidth="1"/>
    <col min="5" max="6" width="18" customWidth="1"/>
  </cols>
  <sheetData>
    <row r="1" spans="1:6">
      <c r="A1" s="1" t="s">
        <v>0</v>
      </c>
    </row>
    <row r="2" spans="1:6">
      <c r="A2" s="1"/>
    </row>
    <row r="3" spans="1:6">
      <c r="A3" t="s">
        <v>1</v>
      </c>
      <c r="B3" s="4" t="s">
        <v>2</v>
      </c>
      <c r="C3" s="7" t="s">
        <v>3</v>
      </c>
      <c r="D3" s="5" t="s">
        <v>4</v>
      </c>
      <c r="E3" s="6" t="s">
        <v>5</v>
      </c>
      <c r="F3" t="s">
        <v>6</v>
      </c>
    </row>
    <row r="4" spans="1:6" ht="60.75">
      <c r="B4" s="2" t="s">
        <v>7</v>
      </c>
      <c r="C4" s="2" t="s">
        <v>8</v>
      </c>
      <c r="D4" s="2" t="s">
        <v>9</v>
      </c>
      <c r="E4" s="2" t="s">
        <v>10</v>
      </c>
    </row>
    <row r="5" spans="1:6">
      <c r="B5" s="2"/>
      <c r="C5" s="2"/>
      <c r="D5" s="2"/>
      <c r="E5" s="2"/>
    </row>
    <row r="6" spans="1:6">
      <c r="A6" s="9" t="s">
        <v>11</v>
      </c>
    </row>
    <row r="7" spans="1:6">
      <c r="A7" s="9"/>
      <c r="B7">
        <f>COUNTIF(B9:D31,TRUE)</f>
        <v>15</v>
      </c>
    </row>
    <row r="8" spans="1:6">
      <c r="A8" t="s">
        <v>12</v>
      </c>
      <c r="B8" t="s">
        <v>13</v>
      </c>
      <c r="C8" t="s">
        <v>14</v>
      </c>
      <c r="D8" t="s">
        <v>15</v>
      </c>
    </row>
    <row r="9" spans="1:6">
      <c r="A9" t="s">
        <v>16</v>
      </c>
      <c r="B9" s="3" t="b">
        <v>0</v>
      </c>
      <c r="C9" s="3" t="b">
        <v>1</v>
      </c>
      <c r="D9" s="3" t="b">
        <v>0</v>
      </c>
    </row>
    <row r="10" spans="1:6">
      <c r="A10" t="s">
        <v>17</v>
      </c>
      <c r="B10" s="3" t="b">
        <v>1</v>
      </c>
      <c r="C10" s="3" t="b">
        <v>0</v>
      </c>
      <c r="D10" s="3" t="b">
        <v>0</v>
      </c>
    </row>
    <row r="11" spans="1:6">
      <c r="A11" t="s">
        <v>18</v>
      </c>
      <c r="B11" s="3" t="b">
        <v>1</v>
      </c>
      <c r="C11" s="3" t="b">
        <v>0</v>
      </c>
      <c r="D11" s="3" t="b">
        <v>0</v>
      </c>
    </row>
    <row r="12" spans="1:6">
      <c r="A12" t="s">
        <v>19</v>
      </c>
      <c r="B12" s="3" t="b">
        <v>0</v>
      </c>
      <c r="C12" s="3" t="b">
        <v>1</v>
      </c>
      <c r="D12" s="3" t="b">
        <v>0</v>
      </c>
    </row>
    <row r="13" spans="1:6">
      <c r="A13" t="s">
        <v>20</v>
      </c>
      <c r="B13" s="3" t="b">
        <v>0</v>
      </c>
      <c r="C13" s="3" t="b">
        <v>1</v>
      </c>
      <c r="D13" s="3" t="b">
        <v>0</v>
      </c>
    </row>
    <row r="14" spans="1:6">
      <c r="A14" t="s">
        <v>21</v>
      </c>
      <c r="B14" s="3" t="b">
        <v>0</v>
      </c>
      <c r="C14" s="3" t="b">
        <v>1</v>
      </c>
      <c r="D14" s="3" t="b">
        <v>0</v>
      </c>
      <c r="E14" t="s">
        <v>22</v>
      </c>
      <c r="F14">
        <f>SUM(B6:D31)</f>
        <v>15</v>
      </c>
    </row>
    <row r="15" spans="1:6">
      <c r="A15" t="s">
        <v>23</v>
      </c>
      <c r="B15" s="3" t="b">
        <v>0</v>
      </c>
      <c r="C15" s="3" t="b">
        <v>1</v>
      </c>
      <c r="D15" s="3" t="b">
        <v>0</v>
      </c>
      <c r="E15" t="s">
        <v>24</v>
      </c>
      <c r="F15" t="str">
        <f>IF(F14&gt;=22,"Avançado",IF(F14&gt;=16,"Adequado",IF(F14&gt;=10,"Básico","Iniciante")))</f>
        <v>Básico</v>
      </c>
    </row>
    <row r="16" spans="1:6">
      <c r="F16" t="s">
        <v>26</v>
      </c>
    </row>
    <row r="17" spans="1:4">
      <c r="A17" s="9" t="s">
        <v>25</v>
      </c>
    </row>
    <row r="18" spans="1:4">
      <c r="A18" s="2"/>
    </row>
    <row r="19" spans="1:4">
      <c r="A19" s="2" t="s">
        <v>1</v>
      </c>
      <c r="B19" t="s">
        <v>26</v>
      </c>
      <c r="C19" t="s">
        <v>14</v>
      </c>
      <c r="D19" t="s">
        <v>27</v>
      </c>
    </row>
    <row r="20" spans="1:4">
      <c r="A20" s="8" t="s">
        <v>28</v>
      </c>
      <c r="B20" s="3" t="b">
        <v>1</v>
      </c>
      <c r="C20" s="3" t="b">
        <v>0</v>
      </c>
      <c r="D20" s="3" t="b">
        <v>0</v>
      </c>
    </row>
    <row r="21" spans="1:4">
      <c r="A21" s="8" t="s">
        <v>29</v>
      </c>
      <c r="B21" s="3" t="b">
        <v>0</v>
      </c>
      <c r="C21" s="3" t="b">
        <v>1</v>
      </c>
      <c r="D21" s="3" t="b">
        <v>0</v>
      </c>
    </row>
    <row r="22" spans="1:4">
      <c r="A22" s="2" t="s">
        <v>30</v>
      </c>
      <c r="B22" s="3" t="b">
        <v>0</v>
      </c>
      <c r="C22" s="3" t="b">
        <v>1</v>
      </c>
      <c r="D22" s="3" t="b">
        <v>0</v>
      </c>
    </row>
    <row r="23" spans="1:4">
      <c r="A23" s="2" t="s">
        <v>31</v>
      </c>
      <c r="B23" s="3" t="b">
        <v>0</v>
      </c>
      <c r="C23" s="3" t="b">
        <v>0</v>
      </c>
      <c r="D23" s="3" t="b">
        <v>1</v>
      </c>
    </row>
    <row r="24" spans="1:4">
      <c r="A24" s="2"/>
    </row>
    <row r="25" spans="1:4">
      <c r="A25" s="10" t="s">
        <v>32</v>
      </c>
    </row>
    <row r="27" spans="1:4" ht="30.75">
      <c r="A27" t="s">
        <v>1</v>
      </c>
      <c r="B27" t="s">
        <v>26</v>
      </c>
      <c r="C27" s="16" t="s">
        <v>33</v>
      </c>
      <c r="D27" s="15" t="s">
        <v>34</v>
      </c>
    </row>
    <row r="28" spans="1:4">
      <c r="A28" t="s">
        <v>35</v>
      </c>
      <c r="B28" s="3" t="b">
        <v>0</v>
      </c>
      <c r="C28" s="3" t="b">
        <v>1</v>
      </c>
      <c r="D28" s="3" t="b">
        <v>0</v>
      </c>
    </row>
    <row r="29" spans="1:4">
      <c r="A29" t="s">
        <v>6</v>
      </c>
      <c r="B29" s="3" t="b">
        <v>0</v>
      </c>
      <c r="C29" s="3" t="b">
        <v>1</v>
      </c>
      <c r="D29" s="3" t="b">
        <v>0</v>
      </c>
    </row>
    <row r="30" spans="1:4">
      <c r="A30" t="s">
        <v>36</v>
      </c>
      <c r="B30" s="3" t="b">
        <v>0</v>
      </c>
      <c r="C30" s="3" t="b">
        <v>1</v>
      </c>
      <c r="D30" s="3" t="b">
        <v>0</v>
      </c>
    </row>
    <row r="31" spans="1:4">
      <c r="A31" t="s">
        <v>37</v>
      </c>
      <c r="B31" s="3" t="b">
        <v>0</v>
      </c>
      <c r="C31" s="3" t="b">
        <v>1</v>
      </c>
      <c r="D31" s="3" t="b">
        <v>0</v>
      </c>
    </row>
    <row r="33" spans="1:1">
      <c r="A33" t="s">
        <v>46</v>
      </c>
    </row>
    <row r="34" spans="1:1">
      <c r="A34" t="s">
        <v>232</v>
      </c>
    </row>
    <row r="36" spans="1:1">
      <c r="A36" t="s">
        <v>46</v>
      </c>
    </row>
    <row r="37" spans="1:1">
      <c r="A37" t="s">
        <v>233</v>
      </c>
    </row>
    <row r="39" spans="1:1">
      <c r="A39" t="s">
        <v>46</v>
      </c>
    </row>
    <row r="40" spans="1:1">
      <c r="A40" t="s">
        <v>234</v>
      </c>
    </row>
    <row r="41" spans="1:1">
      <c r="A41" t="s">
        <v>112</v>
      </c>
    </row>
    <row r="42" spans="1:1">
      <c r="A42" t="s">
        <v>71</v>
      </c>
    </row>
    <row r="43" spans="1:1">
      <c r="A43" t="s">
        <v>145</v>
      </c>
    </row>
    <row r="44" spans="1:1">
      <c r="A44" t="s">
        <v>235</v>
      </c>
    </row>
    <row r="45" spans="1:1">
      <c r="A45" t="s">
        <v>236</v>
      </c>
    </row>
    <row r="46" spans="1:1">
      <c r="A46" t="s">
        <v>237</v>
      </c>
    </row>
    <row r="47" spans="1:1">
      <c r="A47" t="s">
        <v>149</v>
      </c>
    </row>
    <row r="48" spans="1:1">
      <c r="A48" t="s">
        <v>117</v>
      </c>
    </row>
    <row r="49" spans="1:1">
      <c r="A49" t="s">
        <v>150</v>
      </c>
    </row>
    <row r="50" spans="1:1">
      <c r="A50" t="s">
        <v>238</v>
      </c>
    </row>
    <row r="51" spans="1:1">
      <c r="A51" t="s">
        <v>152</v>
      </c>
    </row>
    <row r="52" spans="1:1">
      <c r="A52" t="s">
        <v>239</v>
      </c>
    </row>
    <row r="53" spans="1:1">
      <c r="A53" t="s">
        <v>123</v>
      </c>
    </row>
    <row r="54" spans="1:1">
      <c r="A54" t="s">
        <v>124</v>
      </c>
    </row>
    <row r="55" spans="1:1">
      <c r="A55" t="s">
        <v>154</v>
      </c>
    </row>
    <row r="56" spans="1:1">
      <c r="A56" t="s">
        <v>84</v>
      </c>
    </row>
    <row r="57" spans="1:1">
      <c r="A57" t="s">
        <v>155</v>
      </c>
    </row>
    <row r="58" spans="1:1">
      <c r="A58" t="s">
        <v>156</v>
      </c>
    </row>
    <row r="59" spans="1:1">
      <c r="A59" t="s">
        <v>157</v>
      </c>
    </row>
    <row r="60" spans="1:1">
      <c r="A60" t="s">
        <v>240</v>
      </c>
    </row>
    <row r="61" spans="1:1">
      <c r="A61" t="s">
        <v>241</v>
      </c>
    </row>
    <row r="62" spans="1:1">
      <c r="A62" t="s">
        <v>127</v>
      </c>
    </row>
    <row r="63" spans="1:1">
      <c r="A63" t="s">
        <v>242</v>
      </c>
    </row>
    <row r="64" spans="1:1">
      <c r="A64" t="s">
        <v>129</v>
      </c>
    </row>
    <row r="65" spans="1:1">
      <c r="A65" t="s">
        <v>130</v>
      </c>
    </row>
    <row r="66" spans="1:1">
      <c r="A66" t="s">
        <v>243</v>
      </c>
    </row>
    <row r="67" spans="1:1">
      <c r="A67" t="s">
        <v>162</v>
      </c>
    </row>
    <row r="68" spans="1:1">
      <c r="A68" t="s">
        <v>163</v>
      </c>
    </row>
    <row r="69" spans="1:1">
      <c r="A69" t="s">
        <v>244</v>
      </c>
    </row>
    <row r="70" spans="1:1">
      <c r="A70" t="s">
        <v>135</v>
      </c>
    </row>
    <row r="71" spans="1:1">
      <c r="A71" t="s">
        <v>136</v>
      </c>
    </row>
    <row r="72" spans="1:1">
      <c r="A72" t="s">
        <v>164</v>
      </c>
    </row>
    <row r="73" spans="1:1">
      <c r="A73" t="s">
        <v>245</v>
      </c>
    </row>
    <row r="74" spans="1:1">
      <c r="A74" t="s">
        <v>246</v>
      </c>
    </row>
    <row r="75" spans="1:1">
      <c r="A75" t="s">
        <v>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3B5CE-35B4-4AE3-88A2-6D25F821C0EA}">
  <dimension ref="A1:F85"/>
  <sheetViews>
    <sheetView topLeftCell="A8" workbookViewId="0">
      <selection activeCell="A44" sqref="A44:A85"/>
    </sheetView>
  </sheetViews>
  <sheetFormatPr defaultRowHeight="15"/>
  <cols>
    <col min="1" max="1" width="30" customWidth="1"/>
    <col min="2" max="3" width="18" customWidth="1"/>
    <col min="4" max="4" width="21.140625" customWidth="1"/>
    <col min="5" max="6" width="18" customWidth="1"/>
  </cols>
  <sheetData>
    <row r="1" spans="1:6">
      <c r="A1" s="1" t="s">
        <v>0</v>
      </c>
    </row>
    <row r="2" spans="1:6">
      <c r="A2" s="1"/>
    </row>
    <row r="3" spans="1:6">
      <c r="A3" t="s">
        <v>1</v>
      </c>
      <c r="B3" s="4" t="s">
        <v>2</v>
      </c>
      <c r="C3" s="7" t="s">
        <v>3</v>
      </c>
      <c r="D3" s="5" t="s">
        <v>4</v>
      </c>
      <c r="E3" s="6" t="s">
        <v>5</v>
      </c>
      <c r="F3" t="s">
        <v>6</v>
      </c>
    </row>
    <row r="4" spans="1:6" ht="60.75">
      <c r="B4" s="2" t="s">
        <v>7</v>
      </c>
      <c r="C4" s="2" t="s">
        <v>8</v>
      </c>
      <c r="D4" s="2" t="s">
        <v>9</v>
      </c>
      <c r="E4" s="2" t="s">
        <v>10</v>
      </c>
    </row>
    <row r="5" spans="1:6">
      <c r="B5" s="2"/>
      <c r="C5" s="2"/>
      <c r="D5" s="2"/>
      <c r="E5" s="2"/>
    </row>
    <row r="6" spans="1:6">
      <c r="A6" s="9" t="s">
        <v>11</v>
      </c>
    </row>
    <row r="7" spans="1:6">
      <c r="A7" s="9"/>
      <c r="B7">
        <f>COUNTIF(B9:D31,TRUE)</f>
        <v>16</v>
      </c>
    </row>
    <row r="8" spans="1:6">
      <c r="A8" t="s">
        <v>12</v>
      </c>
      <c r="B8" t="s">
        <v>13</v>
      </c>
      <c r="C8" t="s">
        <v>14</v>
      </c>
      <c r="D8" t="s">
        <v>15</v>
      </c>
    </row>
    <row r="9" spans="1:6">
      <c r="A9" t="s">
        <v>16</v>
      </c>
      <c r="B9" s="3" t="b">
        <v>1</v>
      </c>
      <c r="C9" s="3" t="b">
        <v>0</v>
      </c>
      <c r="D9" s="3" t="b">
        <v>0</v>
      </c>
    </row>
    <row r="10" spans="1:6">
      <c r="A10" t="s">
        <v>17</v>
      </c>
      <c r="B10" s="3" t="b">
        <v>0</v>
      </c>
      <c r="C10" s="3" t="b">
        <v>1</v>
      </c>
      <c r="D10" s="3" t="b">
        <v>0</v>
      </c>
    </row>
    <row r="11" spans="1:6">
      <c r="A11" t="s">
        <v>18</v>
      </c>
      <c r="B11" s="3" t="b">
        <v>1</v>
      </c>
      <c r="C11" s="3" t="b">
        <v>0</v>
      </c>
      <c r="D11" s="3" t="b">
        <v>0</v>
      </c>
    </row>
    <row r="12" spans="1:6">
      <c r="A12" t="s">
        <v>19</v>
      </c>
      <c r="B12" s="3" t="b">
        <v>0</v>
      </c>
      <c r="C12" s="3" t="b">
        <v>1</v>
      </c>
      <c r="D12" s="3" t="b">
        <v>0</v>
      </c>
    </row>
    <row r="13" spans="1:6">
      <c r="A13" t="s">
        <v>20</v>
      </c>
      <c r="B13" s="3" t="b">
        <v>0</v>
      </c>
      <c r="C13" s="3" t="b">
        <v>1</v>
      </c>
      <c r="D13" s="3" t="b">
        <v>0</v>
      </c>
    </row>
    <row r="14" spans="1:6">
      <c r="A14" t="s">
        <v>21</v>
      </c>
      <c r="B14" s="3" t="b">
        <v>0</v>
      </c>
      <c r="C14" s="3" t="b">
        <v>0</v>
      </c>
      <c r="D14" s="3" t="b">
        <v>1</v>
      </c>
      <c r="E14" t="s">
        <v>22</v>
      </c>
      <c r="F14">
        <f>SUM(B6:D31)</f>
        <v>16</v>
      </c>
    </row>
    <row r="15" spans="1:6">
      <c r="A15" t="s">
        <v>23</v>
      </c>
      <c r="B15" s="3" t="b">
        <v>1</v>
      </c>
      <c r="C15" s="3" t="b">
        <v>0</v>
      </c>
      <c r="D15" s="3" t="b">
        <v>0</v>
      </c>
      <c r="E15" t="s">
        <v>24</v>
      </c>
      <c r="F15" s="5" t="str">
        <f>IF(F14&gt;=22,"Avançado",IF(F14&gt;=16,"Adequado",IF(F14&gt;=10,"Básico","Iniciante")))</f>
        <v>Adequado</v>
      </c>
    </row>
    <row r="17" spans="1:4">
      <c r="A17" s="9" t="s">
        <v>25</v>
      </c>
    </row>
    <row r="18" spans="1:4">
      <c r="A18" s="2"/>
    </row>
    <row r="19" spans="1:4">
      <c r="A19" s="2" t="s">
        <v>1</v>
      </c>
      <c r="B19" t="s">
        <v>26</v>
      </c>
      <c r="C19" t="s">
        <v>14</v>
      </c>
      <c r="D19" t="s">
        <v>27</v>
      </c>
    </row>
    <row r="20" spans="1:4">
      <c r="A20" s="8" t="s">
        <v>28</v>
      </c>
      <c r="B20" s="3" t="b">
        <v>1</v>
      </c>
      <c r="C20" s="3" t="b">
        <v>0</v>
      </c>
      <c r="D20" s="3" t="b">
        <v>0</v>
      </c>
    </row>
    <row r="21" spans="1:4">
      <c r="A21" s="8" t="s">
        <v>29</v>
      </c>
      <c r="B21" s="3" t="b">
        <v>0</v>
      </c>
      <c r="C21" s="3" t="b">
        <v>1</v>
      </c>
      <c r="D21" s="3" t="b">
        <v>0</v>
      </c>
    </row>
    <row r="22" spans="1:4">
      <c r="A22" s="2" t="s">
        <v>30</v>
      </c>
      <c r="B22" s="3" t="b">
        <v>0</v>
      </c>
      <c r="C22" s="3" t="b">
        <v>1</v>
      </c>
      <c r="D22" s="3" t="b">
        <v>0</v>
      </c>
    </row>
    <row r="23" spans="1:4">
      <c r="A23" s="2" t="s">
        <v>31</v>
      </c>
      <c r="B23" s="3" t="b">
        <v>0</v>
      </c>
      <c r="C23" s="3" t="b">
        <v>0</v>
      </c>
      <c r="D23" s="3" t="b">
        <v>1</v>
      </c>
    </row>
    <row r="24" spans="1:4">
      <c r="A24" s="2"/>
    </row>
    <row r="25" spans="1:4">
      <c r="A25" s="10" t="s">
        <v>32</v>
      </c>
    </row>
    <row r="27" spans="1:4" ht="30.75">
      <c r="A27" t="s">
        <v>1</v>
      </c>
      <c r="B27" t="s">
        <v>26</v>
      </c>
      <c r="C27" s="16" t="s">
        <v>33</v>
      </c>
      <c r="D27" s="15" t="s">
        <v>34</v>
      </c>
    </row>
    <row r="28" spans="1:4">
      <c r="A28" t="s">
        <v>35</v>
      </c>
      <c r="B28" s="3" t="b">
        <v>0</v>
      </c>
      <c r="C28" s="3" t="b">
        <v>1</v>
      </c>
      <c r="D28" s="3" t="b">
        <v>0</v>
      </c>
    </row>
    <row r="29" spans="1:4">
      <c r="A29" t="s">
        <v>6</v>
      </c>
      <c r="B29" s="3" t="b">
        <v>0</v>
      </c>
      <c r="C29" s="3" t="b">
        <v>0</v>
      </c>
      <c r="D29" s="3" t="b">
        <v>1</v>
      </c>
    </row>
    <row r="30" spans="1:4">
      <c r="A30" t="s">
        <v>36</v>
      </c>
      <c r="B30" s="3" t="b">
        <v>0</v>
      </c>
      <c r="C30" s="3" t="b">
        <v>1</v>
      </c>
      <c r="D30" s="3" t="b">
        <v>0</v>
      </c>
    </row>
    <row r="31" spans="1:4">
      <c r="A31" t="s">
        <v>37</v>
      </c>
      <c r="B31" s="3" t="b">
        <v>0</v>
      </c>
      <c r="C31" s="3" t="b">
        <v>1</v>
      </c>
      <c r="D31" s="3" t="b">
        <v>1</v>
      </c>
    </row>
    <row r="34" spans="1:1">
      <c r="A34" t="s">
        <v>46</v>
      </c>
    </row>
    <row r="35" spans="1:1">
      <c r="A35" t="s">
        <v>248</v>
      </c>
    </row>
    <row r="36" spans="1:1">
      <c r="A36" t="s">
        <v>249</v>
      </c>
    </row>
    <row r="38" spans="1:1">
      <c r="A38" t="s">
        <v>46</v>
      </c>
    </row>
    <row r="39" spans="1:1">
      <c r="A39" t="s">
        <v>250</v>
      </c>
    </row>
    <row r="41" spans="1:1">
      <c r="A41" t="s">
        <v>46</v>
      </c>
    </row>
    <row r="42" spans="1:1">
      <c r="A42" t="s">
        <v>251</v>
      </c>
    </row>
    <row r="44" spans="1:1">
      <c r="A44" t="s">
        <v>112</v>
      </c>
    </row>
    <row r="45" spans="1:1">
      <c r="A45" t="s">
        <v>71</v>
      </c>
    </row>
    <row r="46" spans="1:1">
      <c r="A46" t="s">
        <v>252</v>
      </c>
    </row>
    <row r="47" spans="1:1">
      <c r="A47" t="s">
        <v>253</v>
      </c>
    </row>
    <row r="48" spans="1:1">
      <c r="A48" t="s">
        <v>254</v>
      </c>
    </row>
    <row r="49" spans="1:1">
      <c r="A49" t="s">
        <v>255</v>
      </c>
    </row>
    <row r="50" spans="1:1">
      <c r="A50" t="s">
        <v>256</v>
      </c>
    </row>
    <row r="51" spans="1:1">
      <c r="A51" t="s">
        <v>257</v>
      </c>
    </row>
    <row r="52" spans="1:1">
      <c r="A52" t="s">
        <v>117</v>
      </c>
    </row>
    <row r="53" spans="1:1">
      <c r="A53" t="s">
        <v>258</v>
      </c>
    </row>
    <row r="54" spans="1:1">
      <c r="A54" t="s">
        <v>259</v>
      </c>
    </row>
    <row r="55" spans="1:1">
      <c r="A55" t="s">
        <v>150</v>
      </c>
    </row>
    <row r="56" spans="1:1">
      <c r="A56" t="s">
        <v>260</v>
      </c>
    </row>
    <row r="57" spans="1:1">
      <c r="A57" t="s">
        <v>261</v>
      </c>
    </row>
    <row r="58" spans="1:1">
      <c r="A58" t="s">
        <v>262</v>
      </c>
    </row>
    <row r="59" spans="1:1">
      <c r="A59" t="s">
        <v>123</v>
      </c>
    </row>
    <row r="60" spans="1:1">
      <c r="A60" t="s">
        <v>124</v>
      </c>
    </row>
    <row r="61" spans="1:1">
      <c r="A61" t="s">
        <v>154</v>
      </c>
    </row>
    <row r="62" spans="1:1">
      <c r="A62" t="s">
        <v>84</v>
      </c>
    </row>
    <row r="63" spans="1:1">
      <c r="A63" t="s">
        <v>155</v>
      </c>
    </row>
    <row r="64" spans="1:1">
      <c r="A64" t="s">
        <v>263</v>
      </c>
    </row>
    <row r="65" spans="1:1">
      <c r="A65" t="s">
        <v>264</v>
      </c>
    </row>
    <row r="66" spans="1:1">
      <c r="A66" t="s">
        <v>265</v>
      </c>
    </row>
    <row r="67" spans="1:1">
      <c r="A67" t="s">
        <v>266</v>
      </c>
    </row>
    <row r="68" spans="1:1">
      <c r="A68" t="s">
        <v>127</v>
      </c>
    </row>
    <row r="69" spans="1:1">
      <c r="A69" t="s">
        <v>267</v>
      </c>
    </row>
    <row r="70" spans="1:1">
      <c r="A70" t="s">
        <v>129</v>
      </c>
    </row>
    <row r="71" spans="1:1">
      <c r="A71" t="s">
        <v>268</v>
      </c>
    </row>
    <row r="72" spans="1:1">
      <c r="A72" t="s">
        <v>269</v>
      </c>
    </row>
    <row r="73" spans="1:1">
      <c r="A73" t="s">
        <v>270</v>
      </c>
    </row>
    <row r="74" spans="1:1">
      <c r="A74" t="s">
        <v>271</v>
      </c>
    </row>
    <row r="75" spans="1:1">
      <c r="A75" t="s">
        <v>272</v>
      </c>
    </row>
    <row r="76" spans="1:1">
      <c r="A76" t="s">
        <v>273</v>
      </c>
    </row>
    <row r="77" spans="1:1">
      <c r="A77" t="s">
        <v>274</v>
      </c>
    </row>
    <row r="78" spans="1:1">
      <c r="A78" t="s">
        <v>275</v>
      </c>
    </row>
    <row r="79" spans="1:1">
      <c r="A79" t="s">
        <v>276</v>
      </c>
    </row>
    <row r="80" spans="1:1">
      <c r="A80" t="s">
        <v>277</v>
      </c>
    </row>
    <row r="81" spans="1:1">
      <c r="A81" t="s">
        <v>278</v>
      </c>
    </row>
    <row r="82" spans="1:1">
      <c r="A82" t="s">
        <v>279</v>
      </c>
    </row>
    <row r="83" spans="1:1">
      <c r="A83" t="s">
        <v>280</v>
      </c>
    </row>
    <row r="84" spans="1:1">
      <c r="A84" t="s">
        <v>281</v>
      </c>
    </row>
    <row r="85" spans="1:1">
      <c r="A85" t="s">
        <v>282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715E6-4169-44F9-B050-4C8725BED546}">
  <dimension ref="A1:F68"/>
  <sheetViews>
    <sheetView tabSelected="1" topLeftCell="A4" workbookViewId="0">
      <selection activeCell="A39" sqref="A39"/>
    </sheetView>
  </sheetViews>
  <sheetFormatPr defaultRowHeight="15"/>
  <cols>
    <col min="1" max="1" width="30" customWidth="1"/>
    <col min="2" max="3" width="18" customWidth="1"/>
    <col min="4" max="4" width="21.140625" customWidth="1"/>
    <col min="5" max="6" width="18" customWidth="1"/>
  </cols>
  <sheetData>
    <row r="1" spans="1:6">
      <c r="A1" s="1" t="s">
        <v>0</v>
      </c>
    </row>
    <row r="2" spans="1:6">
      <c r="A2" s="1"/>
    </row>
    <row r="3" spans="1:6">
      <c r="A3" t="s">
        <v>1</v>
      </c>
      <c r="B3" s="4" t="s">
        <v>2</v>
      </c>
      <c r="C3" s="7" t="s">
        <v>3</v>
      </c>
      <c r="D3" s="5" t="s">
        <v>4</v>
      </c>
      <c r="E3" s="6" t="s">
        <v>5</v>
      </c>
      <c r="F3" t="s">
        <v>6</v>
      </c>
    </row>
    <row r="4" spans="1:6" ht="60.75">
      <c r="B4" s="2" t="s">
        <v>7</v>
      </c>
      <c r="C4" s="2" t="s">
        <v>8</v>
      </c>
      <c r="D4" s="2" t="s">
        <v>9</v>
      </c>
      <c r="E4" s="2" t="s">
        <v>10</v>
      </c>
    </row>
    <row r="5" spans="1:6">
      <c r="B5" s="2"/>
      <c r="C5" s="2"/>
      <c r="D5" s="2"/>
      <c r="E5" s="2"/>
    </row>
    <row r="6" spans="1:6">
      <c r="A6" s="9" t="s">
        <v>11</v>
      </c>
    </row>
    <row r="7" spans="1:6">
      <c r="A7" s="9"/>
      <c r="B7">
        <f>COUNTIF(B9:D31,TRUE)</f>
        <v>15</v>
      </c>
    </row>
    <row r="8" spans="1:6">
      <c r="A8" t="s">
        <v>12</v>
      </c>
      <c r="B8" t="s">
        <v>13</v>
      </c>
      <c r="C8" t="s">
        <v>14</v>
      </c>
      <c r="D8" t="s">
        <v>15</v>
      </c>
    </row>
    <row r="9" spans="1:6">
      <c r="A9" t="s">
        <v>16</v>
      </c>
      <c r="B9" s="3" t="b">
        <v>0</v>
      </c>
      <c r="C9" s="3" t="b">
        <v>1</v>
      </c>
      <c r="D9" s="3" t="b">
        <v>0</v>
      </c>
    </row>
    <row r="10" spans="1:6">
      <c r="A10" t="s">
        <v>17</v>
      </c>
      <c r="B10" s="3" t="b">
        <v>0</v>
      </c>
      <c r="C10" s="3" t="b">
        <v>1</v>
      </c>
      <c r="D10" s="3" t="b">
        <v>0</v>
      </c>
    </row>
    <row r="11" spans="1:6">
      <c r="A11" t="s">
        <v>18</v>
      </c>
      <c r="B11" s="3" t="b">
        <v>1</v>
      </c>
      <c r="C11" s="3" t="b">
        <v>0</v>
      </c>
      <c r="D11" s="3" t="b">
        <v>0</v>
      </c>
    </row>
    <row r="12" spans="1:6">
      <c r="A12" t="s">
        <v>19</v>
      </c>
      <c r="B12" s="3" t="b">
        <v>0</v>
      </c>
      <c r="C12" s="3" t="b">
        <v>1</v>
      </c>
      <c r="D12" s="3" t="b">
        <v>0</v>
      </c>
    </row>
    <row r="13" spans="1:6">
      <c r="A13" t="s">
        <v>20</v>
      </c>
      <c r="B13" s="3" t="b">
        <v>0</v>
      </c>
      <c r="C13" s="3" t="b">
        <v>1</v>
      </c>
      <c r="D13" s="3" t="b">
        <v>0</v>
      </c>
    </row>
    <row r="14" spans="1:6">
      <c r="A14" t="s">
        <v>21</v>
      </c>
      <c r="B14" s="3" t="b">
        <v>0</v>
      </c>
      <c r="C14" s="3" t="b">
        <v>1</v>
      </c>
      <c r="D14" s="3" t="b">
        <v>0</v>
      </c>
      <c r="E14" t="s">
        <v>22</v>
      </c>
      <c r="F14">
        <f>SUM(B6:D31)</f>
        <v>15</v>
      </c>
    </row>
    <row r="15" spans="1:6">
      <c r="A15" t="s">
        <v>23</v>
      </c>
      <c r="B15" s="3" t="b">
        <v>0</v>
      </c>
      <c r="C15" s="3" t="b">
        <v>1</v>
      </c>
      <c r="D15" s="3" t="b">
        <v>0</v>
      </c>
      <c r="E15" t="s">
        <v>24</v>
      </c>
      <c r="F15" t="str">
        <f>IF(F14&gt;=22,"Avançado",IF(F14&gt;=16,"Adequado",IF(F14&gt;=10,"Básico","Iniciante")))</f>
        <v>Básico</v>
      </c>
    </row>
    <row r="17" spans="1:4">
      <c r="A17" s="9" t="s">
        <v>25</v>
      </c>
    </row>
    <row r="18" spans="1:4">
      <c r="A18" s="2"/>
    </row>
    <row r="19" spans="1:4">
      <c r="A19" s="2" t="s">
        <v>1</v>
      </c>
      <c r="B19" t="s">
        <v>26</v>
      </c>
      <c r="C19" t="s">
        <v>14</v>
      </c>
      <c r="D19" t="s">
        <v>27</v>
      </c>
    </row>
    <row r="20" spans="1:4">
      <c r="A20" s="8" t="s">
        <v>28</v>
      </c>
      <c r="B20" s="3" t="b">
        <v>1</v>
      </c>
      <c r="C20" s="3" t="b">
        <v>0</v>
      </c>
      <c r="D20" s="3" t="b">
        <v>0</v>
      </c>
    </row>
    <row r="21" spans="1:4">
      <c r="A21" s="8" t="s">
        <v>29</v>
      </c>
      <c r="B21" s="3" t="b">
        <v>0</v>
      </c>
      <c r="C21" s="3" t="b">
        <v>1</v>
      </c>
      <c r="D21" s="3" t="b">
        <v>0</v>
      </c>
    </row>
    <row r="22" spans="1:4">
      <c r="A22" s="2" t="s">
        <v>30</v>
      </c>
      <c r="B22" s="3" t="b">
        <v>0</v>
      </c>
      <c r="C22" s="3" t="b">
        <v>1</v>
      </c>
      <c r="D22" s="3" t="b">
        <v>0</v>
      </c>
    </row>
    <row r="23" spans="1:4">
      <c r="A23" s="2" t="s">
        <v>31</v>
      </c>
      <c r="B23" s="3" t="b">
        <v>0</v>
      </c>
      <c r="C23" s="3" t="b">
        <v>1</v>
      </c>
      <c r="D23" s="3" t="b">
        <v>0</v>
      </c>
    </row>
    <row r="24" spans="1:4">
      <c r="A24" s="2"/>
    </row>
    <row r="25" spans="1:4">
      <c r="A25" s="10" t="s">
        <v>32</v>
      </c>
    </row>
    <row r="27" spans="1:4" ht="30.75">
      <c r="A27" t="s">
        <v>1</v>
      </c>
      <c r="B27" t="s">
        <v>26</v>
      </c>
      <c r="C27" s="16" t="s">
        <v>33</v>
      </c>
      <c r="D27" s="15" t="s">
        <v>34</v>
      </c>
    </row>
    <row r="28" spans="1:4">
      <c r="A28" t="s">
        <v>35</v>
      </c>
      <c r="B28" s="3" t="b">
        <v>0</v>
      </c>
      <c r="C28" s="3" t="b">
        <v>1</v>
      </c>
      <c r="D28" s="3" t="b">
        <v>0</v>
      </c>
    </row>
    <row r="29" spans="1:4">
      <c r="A29" t="s">
        <v>6</v>
      </c>
      <c r="B29" s="3" t="b">
        <v>0</v>
      </c>
      <c r="C29" s="3" t="b">
        <v>1</v>
      </c>
      <c r="D29" s="3" t="b">
        <v>0</v>
      </c>
    </row>
    <row r="30" spans="1:4">
      <c r="A30" t="s">
        <v>36</v>
      </c>
      <c r="B30" s="3" t="b">
        <v>0</v>
      </c>
      <c r="C30" s="3" t="b">
        <v>1</v>
      </c>
      <c r="D30" s="3" t="b">
        <v>0</v>
      </c>
    </row>
    <row r="31" spans="1:4">
      <c r="A31" t="s">
        <v>37</v>
      </c>
      <c r="B31" s="3" t="b">
        <v>1</v>
      </c>
      <c r="C31" s="3" t="b">
        <v>0</v>
      </c>
      <c r="D31" s="3" t="b">
        <v>0</v>
      </c>
    </row>
    <row r="33" spans="1:1">
      <c r="A33" t="s">
        <v>46</v>
      </c>
    </row>
    <row r="34" spans="1:1">
      <c r="A34" t="s">
        <v>283</v>
      </c>
    </row>
    <row r="36" spans="1:1">
      <c r="A36" t="s">
        <v>46</v>
      </c>
    </row>
    <row r="37" spans="1:1">
      <c r="A37" t="s">
        <v>284</v>
      </c>
    </row>
    <row r="39" spans="1:1">
      <c r="A39" t="s">
        <v>46</v>
      </c>
    </row>
    <row r="40" spans="1:1">
      <c r="A40" t="s">
        <v>285</v>
      </c>
    </row>
    <row r="41" spans="1:1">
      <c r="A41" t="s">
        <v>112</v>
      </c>
    </row>
    <row r="42" spans="1:1">
      <c r="A42" t="s">
        <v>71</v>
      </c>
    </row>
    <row r="43" spans="1:1">
      <c r="A43" t="s">
        <v>286</v>
      </c>
    </row>
    <row r="44" spans="1:1">
      <c r="A44" t="s">
        <v>287</v>
      </c>
    </row>
    <row r="45" spans="1:1">
      <c r="A45" t="s">
        <v>288</v>
      </c>
    </row>
    <row r="46" spans="1:1">
      <c r="A46" t="s">
        <v>174</v>
      </c>
    </row>
    <row r="47" spans="1:1">
      <c r="A47" t="s">
        <v>289</v>
      </c>
    </row>
    <row r="48" spans="1:1">
      <c r="A48" t="s">
        <v>175</v>
      </c>
    </row>
    <row r="49" spans="1:1">
      <c r="A49" t="s">
        <v>176</v>
      </c>
    </row>
    <row r="50" spans="1:1">
      <c r="A50" t="s">
        <v>177</v>
      </c>
    </row>
    <row r="51" spans="1:1">
      <c r="A51" t="s">
        <v>290</v>
      </c>
    </row>
    <row r="52" spans="1:1">
      <c r="A52" t="s">
        <v>179</v>
      </c>
    </row>
    <row r="53" spans="1:1">
      <c r="A53" t="s">
        <v>124</v>
      </c>
    </row>
    <row r="54" spans="1:1">
      <c r="A54" t="s">
        <v>154</v>
      </c>
    </row>
    <row r="55" spans="1:1">
      <c r="A55" t="s">
        <v>84</v>
      </c>
    </row>
    <row r="56" spans="1:1">
      <c r="A56" t="s">
        <v>155</v>
      </c>
    </row>
    <row r="57" spans="1:1">
      <c r="A57" t="s">
        <v>156</v>
      </c>
    </row>
    <row r="58" spans="1:1">
      <c r="A58" t="s">
        <v>157</v>
      </c>
    </row>
    <row r="59" spans="1:1">
      <c r="A59" t="s">
        <v>291</v>
      </c>
    </row>
    <row r="60" spans="1:1">
      <c r="A60" t="s">
        <v>292</v>
      </c>
    </row>
    <row r="61" spans="1:1">
      <c r="A61" t="s">
        <v>182</v>
      </c>
    </row>
    <row r="62" spans="1:1">
      <c r="A62" t="s">
        <v>293</v>
      </c>
    </row>
    <row r="63" spans="1:1">
      <c r="A63" t="s">
        <v>135</v>
      </c>
    </row>
    <row r="64" spans="1:1">
      <c r="A64" t="s">
        <v>136</v>
      </c>
    </row>
    <row r="65" spans="1:1">
      <c r="A65" t="s">
        <v>294</v>
      </c>
    </row>
    <row r="66" spans="1:1">
      <c r="A66" t="s">
        <v>295</v>
      </c>
    </row>
    <row r="67" spans="1:1">
      <c r="A67" t="s">
        <v>296</v>
      </c>
    </row>
    <row r="68" spans="1:1">
      <c r="A68" t="s">
        <v>187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13A69-54AD-488C-BB7F-EBB426C77FA8}">
  <dimension ref="A1:F41"/>
  <sheetViews>
    <sheetView workbookViewId="0">
      <selection activeCell="C27" sqref="C27:D27"/>
    </sheetView>
  </sheetViews>
  <sheetFormatPr defaultRowHeight="15"/>
  <cols>
    <col min="1" max="1" width="30" customWidth="1"/>
    <col min="2" max="3" width="18" customWidth="1"/>
    <col min="4" max="4" width="21.140625" customWidth="1"/>
    <col min="5" max="6" width="18" customWidth="1"/>
  </cols>
  <sheetData>
    <row r="1" spans="1:6">
      <c r="A1" s="1" t="s">
        <v>0</v>
      </c>
    </row>
    <row r="2" spans="1:6">
      <c r="A2" s="1"/>
    </row>
    <row r="3" spans="1:6">
      <c r="A3" t="s">
        <v>1</v>
      </c>
      <c r="B3" s="4" t="s">
        <v>2</v>
      </c>
      <c r="C3" s="7" t="s">
        <v>3</v>
      </c>
      <c r="D3" s="5" t="s">
        <v>4</v>
      </c>
      <c r="E3" s="6" t="s">
        <v>5</v>
      </c>
      <c r="F3" t="s">
        <v>6</v>
      </c>
    </row>
    <row r="4" spans="1:6" ht="60.75">
      <c r="B4" s="2" t="s">
        <v>7</v>
      </c>
      <c r="C4" s="2" t="s">
        <v>8</v>
      </c>
      <c r="D4" s="2" t="s">
        <v>9</v>
      </c>
      <c r="E4" s="2" t="s">
        <v>10</v>
      </c>
    </row>
    <row r="5" spans="1:6">
      <c r="B5" s="2"/>
      <c r="C5" s="2"/>
      <c r="D5" s="2"/>
      <c r="E5" s="2"/>
    </row>
    <row r="6" spans="1:6">
      <c r="A6" s="9" t="s">
        <v>11</v>
      </c>
    </row>
    <row r="7" spans="1:6">
      <c r="A7" s="9"/>
      <c r="B7">
        <f>COUNTIF(B9:D31,TRUE)</f>
        <v>0</v>
      </c>
    </row>
    <row r="8" spans="1:6">
      <c r="A8" t="s">
        <v>12</v>
      </c>
      <c r="B8" t="s">
        <v>13</v>
      </c>
      <c r="C8" t="s">
        <v>14</v>
      </c>
      <c r="D8" t="s">
        <v>15</v>
      </c>
    </row>
    <row r="9" spans="1:6">
      <c r="A9" t="s">
        <v>16</v>
      </c>
      <c r="B9" s="3" t="b">
        <v>0</v>
      </c>
      <c r="C9" s="3" t="b">
        <v>0</v>
      </c>
      <c r="D9" s="3" t="b">
        <v>0</v>
      </c>
    </row>
    <row r="10" spans="1:6">
      <c r="A10" t="s">
        <v>17</v>
      </c>
      <c r="B10" s="3" t="b">
        <v>0</v>
      </c>
      <c r="C10" s="3" t="b">
        <v>0</v>
      </c>
      <c r="D10" s="3" t="b">
        <v>0</v>
      </c>
    </row>
    <row r="11" spans="1:6">
      <c r="A11" t="s">
        <v>18</v>
      </c>
      <c r="B11" s="3" t="b">
        <v>0</v>
      </c>
      <c r="C11" s="3" t="b">
        <v>0</v>
      </c>
      <c r="D11" s="3" t="b">
        <v>0</v>
      </c>
    </row>
    <row r="12" spans="1:6">
      <c r="A12" t="s">
        <v>19</v>
      </c>
      <c r="B12" s="3" t="b">
        <v>0</v>
      </c>
      <c r="C12" s="3" t="b">
        <v>0</v>
      </c>
      <c r="D12" s="3" t="b">
        <v>0</v>
      </c>
    </row>
    <row r="13" spans="1:6">
      <c r="A13" t="s">
        <v>20</v>
      </c>
      <c r="B13" s="3" t="b">
        <v>0</v>
      </c>
      <c r="C13" s="3" t="b">
        <v>0</v>
      </c>
      <c r="D13" s="3" t="b">
        <v>0</v>
      </c>
    </row>
    <row r="14" spans="1:6">
      <c r="A14" t="s">
        <v>21</v>
      </c>
      <c r="B14" s="3" t="b">
        <v>0</v>
      </c>
      <c r="C14" s="3" t="b">
        <v>0</v>
      </c>
      <c r="D14" s="3" t="b">
        <v>0</v>
      </c>
      <c r="E14" t="s">
        <v>22</v>
      </c>
      <c r="F14">
        <f>SUM(B6:D31)</f>
        <v>0</v>
      </c>
    </row>
    <row r="15" spans="1:6">
      <c r="A15" t="s">
        <v>23</v>
      </c>
      <c r="B15" s="3" t="b">
        <v>0</v>
      </c>
      <c r="C15" s="3" t="b">
        <v>0</v>
      </c>
      <c r="D15" s="3" t="b">
        <v>0</v>
      </c>
      <c r="E15" t="s">
        <v>24</v>
      </c>
      <c r="F15" t="str">
        <f>IF(F14&gt;=22,"Avançado",IF(F14&gt;=16,"Adequado",IF(F14&gt;=10,"Básico","Iniciante")))</f>
        <v>Iniciante</v>
      </c>
    </row>
    <row r="17" spans="1:4">
      <c r="A17" s="9" t="s">
        <v>25</v>
      </c>
    </row>
    <row r="18" spans="1:4">
      <c r="A18" s="2"/>
    </row>
    <row r="19" spans="1:4">
      <c r="A19" s="2" t="s">
        <v>1</v>
      </c>
      <c r="B19" t="s">
        <v>26</v>
      </c>
      <c r="C19" t="s">
        <v>14</v>
      </c>
      <c r="D19" t="s">
        <v>27</v>
      </c>
    </row>
    <row r="20" spans="1:4">
      <c r="A20" s="8" t="s">
        <v>28</v>
      </c>
      <c r="B20" s="3" t="b">
        <v>0</v>
      </c>
      <c r="C20" s="3" t="b">
        <v>0</v>
      </c>
      <c r="D20" s="3" t="b">
        <v>0</v>
      </c>
    </row>
    <row r="21" spans="1:4">
      <c r="A21" s="8" t="s">
        <v>29</v>
      </c>
      <c r="B21" s="3" t="b">
        <v>0</v>
      </c>
      <c r="C21" s="3" t="b">
        <v>0</v>
      </c>
      <c r="D21" s="3" t="b">
        <v>0</v>
      </c>
    </row>
    <row r="22" spans="1:4">
      <c r="A22" s="2" t="s">
        <v>30</v>
      </c>
      <c r="B22" s="3" t="b">
        <v>0</v>
      </c>
      <c r="C22" s="3" t="b">
        <v>0</v>
      </c>
      <c r="D22" s="3" t="b">
        <v>0</v>
      </c>
    </row>
    <row r="23" spans="1:4">
      <c r="A23" s="2" t="s">
        <v>31</v>
      </c>
      <c r="B23" s="3" t="b">
        <v>0</v>
      </c>
      <c r="C23" s="3" t="b">
        <v>0</v>
      </c>
      <c r="D23" s="3" t="b">
        <v>0</v>
      </c>
    </row>
    <row r="24" spans="1:4">
      <c r="A24" s="2"/>
    </row>
    <row r="25" spans="1:4">
      <c r="A25" s="10" t="s">
        <v>32</v>
      </c>
    </row>
    <row r="27" spans="1:4" ht="30.75">
      <c r="A27" t="s">
        <v>1</v>
      </c>
      <c r="B27" t="s">
        <v>26</v>
      </c>
      <c r="C27" s="16" t="s">
        <v>33</v>
      </c>
      <c r="D27" s="15" t="s">
        <v>34</v>
      </c>
    </row>
    <row r="28" spans="1:4">
      <c r="A28" t="s">
        <v>35</v>
      </c>
      <c r="B28" s="3" t="b">
        <v>0</v>
      </c>
      <c r="C28" s="3" t="b">
        <v>0</v>
      </c>
      <c r="D28" s="3" t="b">
        <v>0</v>
      </c>
    </row>
    <row r="29" spans="1:4">
      <c r="A29" t="s">
        <v>6</v>
      </c>
      <c r="B29" s="3" t="b">
        <v>0</v>
      </c>
      <c r="C29" s="3" t="b">
        <v>0</v>
      </c>
      <c r="D29" s="3" t="b">
        <v>0</v>
      </c>
    </row>
    <row r="30" spans="1:4">
      <c r="A30" t="s">
        <v>36</v>
      </c>
      <c r="B30" s="3" t="b">
        <v>0</v>
      </c>
      <c r="C30" s="3" t="b">
        <v>0</v>
      </c>
      <c r="D30" s="3" t="b">
        <v>0</v>
      </c>
    </row>
    <row r="31" spans="1:4">
      <c r="A31" t="s">
        <v>37</v>
      </c>
      <c r="B31" s="3" t="b">
        <v>0</v>
      </c>
      <c r="C31" s="3" t="b">
        <v>0</v>
      </c>
      <c r="D31" s="3" t="b">
        <v>0</v>
      </c>
    </row>
    <row r="40" spans="1:5">
      <c r="A40" t="s">
        <v>24</v>
      </c>
      <c r="B40" s="4" t="str">
        <f>IF(B39&gt;=22,"Avançado",IF(B39&gt;=16,"Adequado",IF(B39&gt;=10,"Básico","Iniciante")))</f>
        <v>Iniciante</v>
      </c>
      <c r="C40" s="7" t="str">
        <f>IF(C39&gt;=22,"Avançado",IF(C39&gt;=16,"Adequado",IF(C39&gt;=10,"Básico","Básico")))</f>
        <v>Básico</v>
      </c>
      <c r="D40" s="5" t="str">
        <f>IF(D39&gt;=22,"Avançado",IF(D39&gt;=16,"Adequado",IF(D39&gt;=10,"Básico","Adequado")))</f>
        <v>Adequado</v>
      </c>
      <c r="E40" s="6" t="str">
        <f>IF(E39&gt;=22,"Avançado",IF(E39&gt;=16,"Adequado",IF(E39&gt;=10,"Básico","Avançado")))</f>
        <v>Avançado</v>
      </c>
    </row>
    <row r="41" spans="1:5" ht="60.75">
      <c r="B41" s="2" t="s">
        <v>7</v>
      </c>
      <c r="C41" s="2" t="s">
        <v>8</v>
      </c>
      <c r="D41" s="2" t="s">
        <v>9</v>
      </c>
      <c r="E41" s="2" t="s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521AB-F9C0-4055-B26C-06DBF5432971}">
  <dimension ref="A1:F41"/>
  <sheetViews>
    <sheetView workbookViewId="0">
      <selection activeCell="C27" sqref="C27:D27"/>
    </sheetView>
  </sheetViews>
  <sheetFormatPr defaultRowHeight="15"/>
  <cols>
    <col min="1" max="1" width="30" customWidth="1"/>
    <col min="2" max="3" width="18" customWidth="1"/>
    <col min="4" max="4" width="21.140625" customWidth="1"/>
    <col min="5" max="6" width="18" customWidth="1"/>
  </cols>
  <sheetData>
    <row r="1" spans="1:6">
      <c r="A1" s="1" t="s">
        <v>0</v>
      </c>
    </row>
    <row r="2" spans="1:6">
      <c r="A2" s="1"/>
    </row>
    <row r="3" spans="1:6">
      <c r="A3" t="s">
        <v>1</v>
      </c>
      <c r="B3" s="4" t="s">
        <v>2</v>
      </c>
      <c r="C3" s="7" t="s">
        <v>3</v>
      </c>
      <c r="D3" s="5" t="s">
        <v>4</v>
      </c>
      <c r="E3" s="6" t="s">
        <v>5</v>
      </c>
      <c r="F3" t="s">
        <v>6</v>
      </c>
    </row>
    <row r="4" spans="1:6" ht="60.75">
      <c r="B4" s="2" t="s">
        <v>7</v>
      </c>
      <c r="C4" s="2" t="s">
        <v>8</v>
      </c>
      <c r="D4" s="2" t="s">
        <v>9</v>
      </c>
      <c r="E4" s="2" t="s">
        <v>10</v>
      </c>
    </row>
    <row r="5" spans="1:6">
      <c r="B5" s="2"/>
      <c r="C5" s="2"/>
      <c r="D5" s="2"/>
      <c r="E5" s="2"/>
    </row>
    <row r="6" spans="1:6">
      <c r="A6" s="9" t="s">
        <v>11</v>
      </c>
    </row>
    <row r="7" spans="1:6">
      <c r="A7" s="9"/>
      <c r="B7">
        <f>COUNTIF(B9:D31,TRUE)</f>
        <v>0</v>
      </c>
    </row>
    <row r="8" spans="1:6">
      <c r="A8" t="s">
        <v>12</v>
      </c>
      <c r="B8" t="s">
        <v>13</v>
      </c>
      <c r="C8" t="s">
        <v>14</v>
      </c>
      <c r="D8" t="s">
        <v>15</v>
      </c>
    </row>
    <row r="9" spans="1:6">
      <c r="A9" t="s">
        <v>16</v>
      </c>
      <c r="B9" s="3" t="b">
        <v>0</v>
      </c>
      <c r="C9" s="3" t="b">
        <v>0</v>
      </c>
      <c r="D9" s="3" t="b">
        <v>0</v>
      </c>
    </row>
    <row r="10" spans="1:6">
      <c r="A10" t="s">
        <v>17</v>
      </c>
      <c r="B10" s="3" t="b">
        <v>0</v>
      </c>
      <c r="C10" s="3" t="b">
        <v>0</v>
      </c>
      <c r="D10" s="3" t="b">
        <v>0</v>
      </c>
    </row>
    <row r="11" spans="1:6">
      <c r="A11" t="s">
        <v>18</v>
      </c>
      <c r="B11" s="3" t="b">
        <v>0</v>
      </c>
      <c r="C11" s="3" t="b">
        <v>0</v>
      </c>
      <c r="D11" s="3" t="b">
        <v>0</v>
      </c>
    </row>
    <row r="12" spans="1:6">
      <c r="A12" t="s">
        <v>19</v>
      </c>
      <c r="B12" s="3" t="b">
        <v>0</v>
      </c>
      <c r="C12" s="3" t="b">
        <v>0</v>
      </c>
      <c r="D12" s="3" t="b">
        <v>0</v>
      </c>
    </row>
    <row r="13" spans="1:6">
      <c r="A13" t="s">
        <v>20</v>
      </c>
      <c r="B13" s="3" t="b">
        <v>0</v>
      </c>
      <c r="C13" s="3" t="b">
        <v>0</v>
      </c>
      <c r="D13" s="3" t="b">
        <v>0</v>
      </c>
    </row>
    <row r="14" spans="1:6">
      <c r="A14" t="s">
        <v>21</v>
      </c>
      <c r="B14" s="3" t="b">
        <v>0</v>
      </c>
      <c r="C14" s="3" t="b">
        <v>0</v>
      </c>
      <c r="D14" s="3" t="b">
        <v>0</v>
      </c>
      <c r="E14" t="s">
        <v>22</v>
      </c>
      <c r="F14">
        <f>SUM(B6:D31)</f>
        <v>0</v>
      </c>
    </row>
    <row r="15" spans="1:6">
      <c r="A15" t="s">
        <v>23</v>
      </c>
      <c r="B15" s="3" t="b">
        <v>0</v>
      </c>
      <c r="C15" s="3" t="b">
        <v>0</v>
      </c>
      <c r="D15" s="3" t="b">
        <v>0</v>
      </c>
      <c r="E15" t="s">
        <v>24</v>
      </c>
      <c r="F15" t="str">
        <f>IF(F14&gt;=22,"Avançado",IF(F14&gt;=16,"Adequado",IF(F14&gt;=10,"Básico","Iniciante")))</f>
        <v>Iniciante</v>
      </c>
    </row>
    <row r="17" spans="1:4">
      <c r="A17" s="9" t="s">
        <v>25</v>
      </c>
    </row>
    <row r="18" spans="1:4">
      <c r="A18" s="2"/>
    </row>
    <row r="19" spans="1:4">
      <c r="A19" s="2" t="s">
        <v>1</v>
      </c>
      <c r="B19" t="s">
        <v>26</v>
      </c>
      <c r="C19" t="s">
        <v>14</v>
      </c>
      <c r="D19" t="s">
        <v>27</v>
      </c>
    </row>
    <row r="20" spans="1:4">
      <c r="A20" s="8" t="s">
        <v>28</v>
      </c>
      <c r="B20" s="3" t="b">
        <v>0</v>
      </c>
      <c r="C20" s="3" t="b">
        <v>0</v>
      </c>
      <c r="D20" s="3" t="b">
        <v>0</v>
      </c>
    </row>
    <row r="21" spans="1:4">
      <c r="A21" s="8" t="s">
        <v>29</v>
      </c>
      <c r="B21" s="3" t="b">
        <v>0</v>
      </c>
      <c r="C21" s="3" t="b">
        <v>0</v>
      </c>
      <c r="D21" s="3" t="b">
        <v>0</v>
      </c>
    </row>
    <row r="22" spans="1:4">
      <c r="A22" s="2" t="s">
        <v>30</v>
      </c>
      <c r="B22" s="3" t="b">
        <v>0</v>
      </c>
      <c r="C22" s="3" t="b">
        <v>0</v>
      </c>
      <c r="D22" s="3" t="b">
        <v>0</v>
      </c>
    </row>
    <row r="23" spans="1:4">
      <c r="A23" s="2" t="s">
        <v>31</v>
      </c>
      <c r="B23" s="3" t="b">
        <v>0</v>
      </c>
      <c r="C23" s="3" t="b">
        <v>0</v>
      </c>
      <c r="D23" s="3" t="b">
        <v>0</v>
      </c>
    </row>
    <row r="24" spans="1:4">
      <c r="A24" s="2"/>
    </row>
    <row r="25" spans="1:4">
      <c r="A25" s="10" t="s">
        <v>32</v>
      </c>
    </row>
    <row r="27" spans="1:4" ht="30.75">
      <c r="A27" t="s">
        <v>1</v>
      </c>
      <c r="B27" t="s">
        <v>26</v>
      </c>
      <c r="C27" s="16" t="s">
        <v>33</v>
      </c>
      <c r="D27" s="15" t="s">
        <v>34</v>
      </c>
    </row>
    <row r="28" spans="1:4">
      <c r="A28" t="s">
        <v>35</v>
      </c>
      <c r="B28" s="3" t="b">
        <v>0</v>
      </c>
      <c r="C28" s="3" t="b">
        <v>0</v>
      </c>
      <c r="D28" s="3" t="b">
        <v>0</v>
      </c>
    </row>
    <row r="29" spans="1:4">
      <c r="A29" t="s">
        <v>6</v>
      </c>
      <c r="B29" s="3" t="b">
        <v>0</v>
      </c>
      <c r="C29" s="3" t="b">
        <v>0</v>
      </c>
      <c r="D29" s="3" t="b">
        <v>0</v>
      </c>
    </row>
    <row r="30" spans="1:4">
      <c r="A30" t="s">
        <v>36</v>
      </c>
      <c r="B30" s="3" t="b">
        <v>0</v>
      </c>
      <c r="C30" s="3" t="b">
        <v>0</v>
      </c>
      <c r="D30" s="3" t="b">
        <v>0</v>
      </c>
    </row>
    <row r="31" spans="1:4">
      <c r="A31" t="s">
        <v>37</v>
      </c>
      <c r="B31" s="3" t="b">
        <v>0</v>
      </c>
      <c r="C31" s="3" t="b">
        <v>0</v>
      </c>
      <c r="D31" s="3" t="b">
        <v>0</v>
      </c>
    </row>
    <row r="40" spans="1:5">
      <c r="A40" t="s">
        <v>24</v>
      </c>
      <c r="B40" s="4" t="str">
        <f>IF(B39&gt;=22,"Avançado",IF(B39&gt;=16,"Adequado",IF(B39&gt;=10,"Básico","Iniciante")))</f>
        <v>Iniciante</v>
      </c>
      <c r="C40" s="7" t="str">
        <f>IF(C39&gt;=22,"Avançado",IF(C39&gt;=16,"Adequado",IF(C39&gt;=10,"Básico","Básico")))</f>
        <v>Básico</v>
      </c>
      <c r="D40" s="5" t="str">
        <f>IF(D39&gt;=22,"Avançado",IF(D39&gt;=16,"Adequado",IF(D39&gt;=10,"Básico","Adequado")))</f>
        <v>Adequado</v>
      </c>
      <c r="E40" s="6" t="str">
        <f>IF(E39&gt;=22,"Avançado",IF(E39&gt;=16,"Adequado",IF(E39&gt;=10,"Básico","Avançado")))</f>
        <v>Avançado</v>
      </c>
    </row>
    <row r="41" spans="1:5" ht="60.75">
      <c r="B41" s="2" t="s">
        <v>7</v>
      </c>
      <c r="C41" s="2" t="s">
        <v>8</v>
      </c>
      <c r="D41" s="2" t="s">
        <v>9</v>
      </c>
      <c r="E41" s="2" t="s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B6D9C-DCFC-4E36-B272-653482D8ECE4}">
  <dimension ref="A1:F82"/>
  <sheetViews>
    <sheetView topLeftCell="A5" workbookViewId="0">
      <selection activeCell="F41" sqref="F41"/>
    </sheetView>
  </sheetViews>
  <sheetFormatPr defaultRowHeight="15"/>
  <cols>
    <col min="1" max="1" width="30" customWidth="1"/>
    <col min="2" max="3" width="18" customWidth="1"/>
    <col min="4" max="4" width="21.140625" customWidth="1"/>
    <col min="5" max="6" width="18" customWidth="1"/>
  </cols>
  <sheetData>
    <row r="1" spans="1:6">
      <c r="A1" s="1" t="s">
        <v>0</v>
      </c>
    </row>
    <row r="2" spans="1:6">
      <c r="A2" s="1"/>
    </row>
    <row r="3" spans="1:6">
      <c r="A3" t="s">
        <v>1</v>
      </c>
      <c r="B3" s="4" t="s">
        <v>2</v>
      </c>
      <c r="C3" s="7" t="s">
        <v>3</v>
      </c>
      <c r="D3" s="5" t="s">
        <v>4</v>
      </c>
      <c r="E3" s="6" t="s">
        <v>5</v>
      </c>
      <c r="F3" t="s">
        <v>6</v>
      </c>
    </row>
    <row r="4" spans="1:6" ht="60.75">
      <c r="B4" s="2" t="s">
        <v>7</v>
      </c>
      <c r="C4" s="2" t="s">
        <v>8</v>
      </c>
      <c r="D4" s="2" t="s">
        <v>9</v>
      </c>
      <c r="E4" s="2" t="s">
        <v>10</v>
      </c>
    </row>
    <row r="5" spans="1:6">
      <c r="B5" s="2"/>
      <c r="C5" s="2"/>
      <c r="D5" s="2"/>
      <c r="E5" s="2"/>
    </row>
    <row r="6" spans="1:6">
      <c r="A6" s="9" t="s">
        <v>11</v>
      </c>
    </row>
    <row r="7" spans="1:6">
      <c r="A7" s="9"/>
      <c r="B7">
        <f>COUNTIF(B9:D31,TRUE)</f>
        <v>16</v>
      </c>
    </row>
    <row r="8" spans="1:6">
      <c r="A8" t="s">
        <v>12</v>
      </c>
      <c r="B8" t="s">
        <v>13</v>
      </c>
      <c r="C8" t="s">
        <v>14</v>
      </c>
      <c r="D8" t="s">
        <v>15</v>
      </c>
    </row>
    <row r="9" spans="1:6">
      <c r="A9" t="s">
        <v>16</v>
      </c>
      <c r="B9" s="3" t="b">
        <v>0</v>
      </c>
      <c r="C9" s="3" t="b">
        <v>1</v>
      </c>
      <c r="D9" s="3" t="b">
        <v>0</v>
      </c>
    </row>
    <row r="10" spans="1:6">
      <c r="A10" t="s">
        <v>17</v>
      </c>
      <c r="B10" s="3" t="b">
        <v>1</v>
      </c>
      <c r="C10" s="3" t="b">
        <v>0</v>
      </c>
      <c r="D10" s="3" t="b">
        <v>0</v>
      </c>
    </row>
    <row r="11" spans="1:6">
      <c r="A11" t="s">
        <v>18</v>
      </c>
      <c r="B11" s="3" t="b">
        <v>1</v>
      </c>
      <c r="C11" s="3" t="b">
        <v>0</v>
      </c>
      <c r="D11" s="3" t="b">
        <v>0</v>
      </c>
    </row>
    <row r="12" spans="1:6">
      <c r="A12" t="s">
        <v>19</v>
      </c>
      <c r="B12" s="3" t="b">
        <v>0</v>
      </c>
      <c r="C12" s="3" t="b">
        <v>1</v>
      </c>
      <c r="D12" s="3" t="b">
        <v>0</v>
      </c>
    </row>
    <row r="13" spans="1:6">
      <c r="A13" t="s">
        <v>20</v>
      </c>
      <c r="B13" s="3" t="b">
        <v>0</v>
      </c>
      <c r="C13" s="3" t="b">
        <v>1</v>
      </c>
      <c r="D13" s="3" t="b">
        <v>0</v>
      </c>
    </row>
    <row r="14" spans="1:6">
      <c r="A14" t="s">
        <v>21</v>
      </c>
      <c r="B14" s="3" t="b">
        <v>0</v>
      </c>
      <c r="C14" s="3" t="b">
        <v>1</v>
      </c>
      <c r="D14" s="3" t="b">
        <v>0</v>
      </c>
      <c r="E14" t="s">
        <v>22</v>
      </c>
      <c r="F14">
        <f>SUM(B6:D31)</f>
        <v>16</v>
      </c>
    </row>
    <row r="15" spans="1:6">
      <c r="A15" t="s">
        <v>23</v>
      </c>
      <c r="B15" s="3" t="b">
        <v>1</v>
      </c>
      <c r="C15" s="3" t="b">
        <v>0</v>
      </c>
      <c r="D15" s="3" t="b">
        <v>0</v>
      </c>
      <c r="E15" t="s">
        <v>24</v>
      </c>
      <c r="F15" s="5" t="str">
        <f>IF(F14&gt;=22,"Avançado",IF(F14&gt;=16,"Adequado",IF(F14&gt;=10,"Básico","Iniciante")))</f>
        <v>Adequado</v>
      </c>
    </row>
    <row r="17" spans="1:4">
      <c r="A17" s="9" t="s">
        <v>25</v>
      </c>
    </row>
    <row r="18" spans="1:4">
      <c r="A18" s="2"/>
    </row>
    <row r="19" spans="1:4">
      <c r="A19" s="2" t="s">
        <v>1</v>
      </c>
      <c r="B19" t="s">
        <v>26</v>
      </c>
      <c r="C19" t="s">
        <v>14</v>
      </c>
      <c r="D19" t="s">
        <v>27</v>
      </c>
    </row>
    <row r="20" spans="1:4">
      <c r="A20" s="8" t="s">
        <v>28</v>
      </c>
      <c r="B20" s="3" t="b">
        <v>1</v>
      </c>
      <c r="C20" s="3" t="b">
        <v>0</v>
      </c>
      <c r="D20" s="3" t="b">
        <v>0</v>
      </c>
    </row>
    <row r="21" spans="1:4">
      <c r="A21" s="8" t="s">
        <v>29</v>
      </c>
      <c r="B21" s="3" t="b">
        <v>0</v>
      </c>
      <c r="C21" s="3" t="b">
        <v>1</v>
      </c>
      <c r="D21" s="3" t="b">
        <v>0</v>
      </c>
    </row>
    <row r="22" spans="1:4">
      <c r="A22" s="2" t="s">
        <v>30</v>
      </c>
      <c r="B22" s="3" t="b">
        <v>0</v>
      </c>
      <c r="C22" s="3" t="b">
        <v>1</v>
      </c>
      <c r="D22" s="3" t="b">
        <v>0</v>
      </c>
    </row>
    <row r="23" spans="1:4">
      <c r="A23" s="2" t="s">
        <v>31</v>
      </c>
      <c r="B23" s="3" t="b">
        <v>0</v>
      </c>
      <c r="C23" s="3" t="b">
        <v>0</v>
      </c>
      <c r="D23" s="3" t="b">
        <v>1</v>
      </c>
    </row>
    <row r="24" spans="1:4">
      <c r="A24" s="2"/>
    </row>
    <row r="25" spans="1:4">
      <c r="A25" s="10" t="s">
        <v>32</v>
      </c>
    </row>
    <row r="27" spans="1:4" ht="30.75">
      <c r="A27" t="s">
        <v>1</v>
      </c>
      <c r="B27" t="s">
        <v>26</v>
      </c>
      <c r="C27" s="16" t="s">
        <v>33</v>
      </c>
      <c r="D27" s="15" t="s">
        <v>34</v>
      </c>
    </row>
    <row r="28" spans="1:4">
      <c r="A28" t="s">
        <v>35</v>
      </c>
      <c r="B28" s="3" t="b">
        <v>0</v>
      </c>
      <c r="C28" s="3" t="b">
        <v>1</v>
      </c>
      <c r="D28" s="3" t="b">
        <v>0</v>
      </c>
    </row>
    <row r="29" spans="1:4">
      <c r="A29" t="s">
        <v>6</v>
      </c>
      <c r="B29" s="3" t="b">
        <v>0</v>
      </c>
      <c r="C29" s="3" t="b">
        <v>1</v>
      </c>
      <c r="D29" s="3" t="b">
        <v>0</v>
      </c>
    </row>
    <row r="30" spans="1:4">
      <c r="A30" t="s">
        <v>36</v>
      </c>
      <c r="B30" s="3" t="b">
        <v>0</v>
      </c>
      <c r="C30" s="3" t="b">
        <v>1</v>
      </c>
      <c r="D30" s="3" t="b">
        <v>0</v>
      </c>
    </row>
    <row r="31" spans="1:4">
      <c r="A31" t="s">
        <v>37</v>
      </c>
      <c r="B31" s="3" t="b">
        <v>0</v>
      </c>
      <c r="C31" s="3" t="b">
        <v>1</v>
      </c>
      <c r="D31" s="3" t="b">
        <v>1</v>
      </c>
    </row>
    <row r="34" spans="1:1">
      <c r="A34" t="s">
        <v>46</v>
      </c>
    </row>
    <row r="35" spans="1:1">
      <c r="A35" t="s">
        <v>297</v>
      </c>
    </row>
    <row r="37" spans="1:1">
      <c r="A37" t="s">
        <v>46</v>
      </c>
    </row>
    <row r="38" spans="1:1">
      <c r="A38" t="s">
        <v>298</v>
      </c>
    </row>
    <row r="39" spans="1:1">
      <c r="A39" t="s">
        <v>299</v>
      </c>
    </row>
    <row r="41" spans="1:1">
      <c r="A41" t="s">
        <v>46</v>
      </c>
    </row>
    <row r="42" spans="1:1">
      <c r="A42" t="s">
        <v>300</v>
      </c>
    </row>
    <row r="44" spans="1:1">
      <c r="A44" t="s">
        <v>112</v>
      </c>
    </row>
    <row r="45" spans="1:1">
      <c r="A45" t="s">
        <v>71</v>
      </c>
    </row>
    <row r="46" spans="1:1">
      <c r="A46" t="s">
        <v>171</v>
      </c>
    </row>
    <row r="47" spans="1:1">
      <c r="A47" t="s">
        <v>301</v>
      </c>
    </row>
    <row r="48" spans="1:1">
      <c r="A48" t="s">
        <v>302</v>
      </c>
    </row>
    <row r="49" spans="1:1">
      <c r="A49" t="s">
        <v>255</v>
      </c>
    </row>
    <row r="50" spans="1:1">
      <c r="A50" t="s">
        <v>303</v>
      </c>
    </row>
    <row r="51" spans="1:1">
      <c r="A51" t="s">
        <v>304</v>
      </c>
    </row>
    <row r="52" spans="1:1">
      <c r="A52" t="s">
        <v>117</v>
      </c>
    </row>
    <row r="53" spans="1:1">
      <c r="A53" t="s">
        <v>151</v>
      </c>
    </row>
    <row r="54" spans="1:1">
      <c r="A54" t="s">
        <v>150</v>
      </c>
    </row>
    <row r="55" spans="1:1">
      <c r="A55" t="s">
        <v>305</v>
      </c>
    </row>
    <row r="56" spans="1:1">
      <c r="A56" t="s">
        <v>306</v>
      </c>
    </row>
    <row r="57" spans="1:1">
      <c r="A57" t="s">
        <v>307</v>
      </c>
    </row>
    <row r="58" spans="1:1">
      <c r="A58" t="s">
        <v>123</v>
      </c>
    </row>
    <row r="59" spans="1:1">
      <c r="A59" t="s">
        <v>124</v>
      </c>
    </row>
    <row r="60" spans="1:1">
      <c r="A60" t="s">
        <v>154</v>
      </c>
    </row>
    <row r="61" spans="1:1">
      <c r="A61" t="s">
        <v>84</v>
      </c>
    </row>
    <row r="62" spans="1:1">
      <c r="A62" t="s">
        <v>155</v>
      </c>
    </row>
    <row r="63" spans="1:1">
      <c r="A63" t="s">
        <v>308</v>
      </c>
    </row>
    <row r="64" spans="1:1">
      <c r="A64" t="s">
        <v>309</v>
      </c>
    </row>
    <row r="65" spans="1:1">
      <c r="A65" t="s">
        <v>310</v>
      </c>
    </row>
    <row r="66" spans="1:1">
      <c r="A66" t="s">
        <v>311</v>
      </c>
    </row>
    <row r="67" spans="1:1">
      <c r="A67" t="s">
        <v>127</v>
      </c>
    </row>
    <row r="68" spans="1:1">
      <c r="A68" t="s">
        <v>312</v>
      </c>
    </row>
    <row r="69" spans="1:1">
      <c r="A69" t="s">
        <v>129</v>
      </c>
    </row>
    <row r="70" spans="1:1">
      <c r="A70" t="s">
        <v>130</v>
      </c>
    </row>
    <row r="71" spans="1:1">
      <c r="A71" t="s">
        <v>313</v>
      </c>
    </row>
    <row r="72" spans="1:1">
      <c r="A72" t="s">
        <v>314</v>
      </c>
    </row>
    <row r="73" spans="1:1">
      <c r="A73" t="s">
        <v>315</v>
      </c>
    </row>
    <row r="74" spans="1:1">
      <c r="A74" t="s">
        <v>271</v>
      </c>
    </row>
    <row r="75" spans="1:1">
      <c r="A75" t="s">
        <v>316</v>
      </c>
    </row>
    <row r="76" spans="1:1">
      <c r="A76" t="s">
        <v>317</v>
      </c>
    </row>
    <row r="77" spans="1:1">
      <c r="A77" t="s">
        <v>135</v>
      </c>
    </row>
    <row r="78" spans="1:1">
      <c r="A78" t="s">
        <v>136</v>
      </c>
    </row>
    <row r="79" spans="1:1">
      <c r="A79" t="s">
        <v>318</v>
      </c>
    </row>
    <row r="80" spans="1:1">
      <c r="A80" t="s">
        <v>319</v>
      </c>
    </row>
    <row r="81" spans="1:1">
      <c r="A81" t="s">
        <v>320</v>
      </c>
    </row>
    <row r="82" spans="1:1">
      <c r="A82" t="s">
        <v>321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A0D84-22A3-4DBE-A2CE-0D3C88231D3A}">
  <dimension ref="A1:F70"/>
  <sheetViews>
    <sheetView topLeftCell="A4" workbookViewId="0">
      <selection activeCell="F17" sqref="F17"/>
    </sheetView>
  </sheetViews>
  <sheetFormatPr defaultRowHeight="15"/>
  <cols>
    <col min="1" max="1" width="30" customWidth="1"/>
    <col min="2" max="3" width="18" customWidth="1"/>
    <col min="4" max="4" width="21.140625" customWidth="1"/>
    <col min="5" max="6" width="18" customWidth="1"/>
  </cols>
  <sheetData>
    <row r="1" spans="1:6">
      <c r="A1" s="1" t="s">
        <v>0</v>
      </c>
    </row>
    <row r="2" spans="1:6">
      <c r="A2" s="1"/>
    </row>
    <row r="3" spans="1:6">
      <c r="A3" t="s">
        <v>1</v>
      </c>
      <c r="B3" s="4" t="s">
        <v>2</v>
      </c>
      <c r="C3" s="7" t="s">
        <v>3</v>
      </c>
      <c r="D3" s="5" t="s">
        <v>4</v>
      </c>
      <c r="E3" s="6" t="s">
        <v>5</v>
      </c>
      <c r="F3" t="s">
        <v>6</v>
      </c>
    </row>
    <row r="4" spans="1:6" ht="60.75">
      <c r="B4" s="2" t="s">
        <v>7</v>
      </c>
      <c r="C4" s="2" t="s">
        <v>8</v>
      </c>
      <c r="D4" s="2" t="s">
        <v>9</v>
      </c>
      <c r="E4" s="2" t="s">
        <v>10</v>
      </c>
    </row>
    <row r="5" spans="1:6">
      <c r="B5" s="2"/>
      <c r="C5" s="2"/>
      <c r="D5" s="2"/>
      <c r="E5" s="2"/>
    </row>
    <row r="6" spans="1:6">
      <c r="A6" s="9" t="s">
        <v>11</v>
      </c>
    </row>
    <row r="7" spans="1:6">
      <c r="A7" s="9"/>
      <c r="B7">
        <f>COUNTIF(B9:D31,TRUE)</f>
        <v>14</v>
      </c>
    </row>
    <row r="8" spans="1:6">
      <c r="A8" t="s">
        <v>12</v>
      </c>
      <c r="B8" t="s">
        <v>13</v>
      </c>
      <c r="C8" t="s">
        <v>14</v>
      </c>
      <c r="D8" t="s">
        <v>15</v>
      </c>
    </row>
    <row r="9" spans="1:6">
      <c r="A9" t="s">
        <v>16</v>
      </c>
      <c r="B9" s="3" t="b">
        <v>0</v>
      </c>
      <c r="C9" s="3" t="b">
        <v>1</v>
      </c>
      <c r="D9" s="3" t="b">
        <v>0</v>
      </c>
    </row>
    <row r="10" spans="1:6">
      <c r="A10" t="s">
        <v>17</v>
      </c>
      <c r="B10" s="3" t="b">
        <v>0</v>
      </c>
      <c r="C10" s="3" t="b">
        <v>0</v>
      </c>
      <c r="D10" s="3" t="b">
        <v>1</v>
      </c>
    </row>
    <row r="11" spans="1:6">
      <c r="A11" t="s">
        <v>18</v>
      </c>
      <c r="B11" s="3" t="b">
        <v>0</v>
      </c>
      <c r="C11" s="3" t="b">
        <v>1</v>
      </c>
      <c r="D11" s="3" t="b">
        <v>0</v>
      </c>
    </row>
    <row r="12" spans="1:6">
      <c r="A12" t="s">
        <v>19</v>
      </c>
      <c r="B12" s="3" t="b">
        <v>0</v>
      </c>
      <c r="C12" s="3" t="b">
        <v>0</v>
      </c>
      <c r="D12" s="3" t="b">
        <v>1</v>
      </c>
    </row>
    <row r="13" spans="1:6">
      <c r="A13" t="s">
        <v>20</v>
      </c>
      <c r="B13" s="3" t="b">
        <v>0</v>
      </c>
      <c r="C13" s="3" t="b">
        <v>0</v>
      </c>
      <c r="D13" s="3" t="b">
        <v>1</v>
      </c>
    </row>
    <row r="14" spans="1:6">
      <c r="A14" t="s">
        <v>21</v>
      </c>
      <c r="B14" s="3" t="b">
        <v>0</v>
      </c>
      <c r="C14" s="3" t="b">
        <v>0</v>
      </c>
      <c r="D14" s="3" t="b">
        <v>1</v>
      </c>
      <c r="E14" t="s">
        <v>22</v>
      </c>
      <c r="F14">
        <f>SUM(B6:D31)</f>
        <v>14</v>
      </c>
    </row>
    <row r="15" spans="1:6">
      <c r="A15" t="s">
        <v>23</v>
      </c>
      <c r="B15" s="3" t="b">
        <v>0</v>
      </c>
      <c r="C15" s="3" t="b">
        <v>1</v>
      </c>
      <c r="D15" s="3" t="b">
        <v>0</v>
      </c>
      <c r="E15" t="s">
        <v>24</v>
      </c>
      <c r="F15" t="str">
        <f>IF(F14&gt;=22,"Avançado",IF(F14&gt;=16,"Adequado",IF(F14&gt;=10,"Básico","Iniciante")))</f>
        <v>Básico</v>
      </c>
    </row>
    <row r="16" spans="1:6">
      <c r="F16" t="s">
        <v>108</v>
      </c>
    </row>
    <row r="17" spans="1:4">
      <c r="A17" s="9" t="s">
        <v>25</v>
      </c>
    </row>
    <row r="18" spans="1:4">
      <c r="A18" s="2"/>
    </row>
    <row r="19" spans="1:4">
      <c r="A19" s="2" t="s">
        <v>1</v>
      </c>
      <c r="B19" t="s">
        <v>26</v>
      </c>
      <c r="C19" t="s">
        <v>14</v>
      </c>
      <c r="D19" t="s">
        <v>27</v>
      </c>
    </row>
    <row r="20" spans="1:4">
      <c r="A20" s="8" t="s">
        <v>28</v>
      </c>
      <c r="B20" s="3" t="b">
        <v>0</v>
      </c>
      <c r="C20" s="3" t="b">
        <v>1</v>
      </c>
      <c r="D20" s="3" t="b">
        <v>0</v>
      </c>
    </row>
    <row r="21" spans="1:4">
      <c r="A21" s="8" t="s">
        <v>29</v>
      </c>
      <c r="B21" s="3" t="b">
        <v>0</v>
      </c>
      <c r="C21" s="3" t="b">
        <v>0</v>
      </c>
      <c r="D21" s="3" t="b">
        <v>1</v>
      </c>
    </row>
    <row r="22" spans="1:4">
      <c r="A22" s="2" t="s">
        <v>30</v>
      </c>
      <c r="B22" s="3" t="b">
        <v>0</v>
      </c>
      <c r="C22" s="3" t="b">
        <v>0</v>
      </c>
      <c r="D22" s="3" t="b">
        <v>1</v>
      </c>
    </row>
    <row r="23" spans="1:4">
      <c r="A23" s="2" t="s">
        <v>31</v>
      </c>
      <c r="B23" s="3" t="b">
        <v>0</v>
      </c>
      <c r="C23" s="3" t="b">
        <v>0</v>
      </c>
      <c r="D23" s="3" t="b">
        <v>1</v>
      </c>
    </row>
    <row r="24" spans="1:4">
      <c r="A24" s="2"/>
    </row>
    <row r="25" spans="1:4">
      <c r="A25" s="10" t="s">
        <v>32</v>
      </c>
    </row>
    <row r="27" spans="1:4" ht="30.75">
      <c r="A27" t="s">
        <v>1</v>
      </c>
      <c r="B27" t="s">
        <v>26</v>
      </c>
      <c r="C27" s="16" t="s">
        <v>33</v>
      </c>
      <c r="D27" s="15" t="s">
        <v>34</v>
      </c>
    </row>
    <row r="28" spans="1:4">
      <c r="A28" t="s">
        <v>35</v>
      </c>
      <c r="B28" s="3" t="b">
        <v>0</v>
      </c>
      <c r="C28" s="3" t="b">
        <v>1</v>
      </c>
      <c r="D28" s="3" t="b">
        <v>0</v>
      </c>
    </row>
    <row r="29" spans="1:4">
      <c r="A29" t="s">
        <v>6</v>
      </c>
      <c r="B29" s="3" t="b">
        <v>0</v>
      </c>
      <c r="C29" s="3" t="b">
        <v>0</v>
      </c>
      <c r="D29" s="3" t="b">
        <v>1</v>
      </c>
    </row>
    <row r="30" spans="1:4">
      <c r="A30" t="s">
        <v>36</v>
      </c>
      <c r="B30" s="3" t="b">
        <v>0</v>
      </c>
      <c r="C30" s="3" t="b">
        <v>1</v>
      </c>
      <c r="D30" s="3" t="b">
        <v>0</v>
      </c>
    </row>
    <row r="31" spans="1:4">
      <c r="A31" t="s">
        <v>37</v>
      </c>
      <c r="B31" s="3" t="b">
        <v>0</v>
      </c>
      <c r="C31" s="3" t="b">
        <v>0</v>
      </c>
      <c r="D31" s="3" t="b">
        <v>0</v>
      </c>
    </row>
    <row r="33" spans="1:1">
      <c r="A33" t="s">
        <v>46</v>
      </c>
    </row>
    <row r="34" spans="1:1">
      <c r="A34" t="s">
        <v>322</v>
      </c>
    </row>
    <row r="36" spans="1:1">
      <c r="A36" t="s">
        <v>46</v>
      </c>
    </row>
    <row r="37" spans="1:1">
      <c r="A37" t="s">
        <v>323</v>
      </c>
    </row>
    <row r="39" spans="1:1">
      <c r="A39" t="s">
        <v>46</v>
      </c>
    </row>
    <row r="40" spans="1:1">
      <c r="A40" t="s">
        <v>324</v>
      </c>
    </row>
    <row r="41" spans="1:1">
      <c r="A41" t="s">
        <v>112</v>
      </c>
    </row>
    <row r="42" spans="1:1">
      <c r="A42" t="s">
        <v>71</v>
      </c>
    </row>
    <row r="43" spans="1:1">
      <c r="A43" t="s">
        <v>325</v>
      </c>
    </row>
    <row r="44" spans="1:1">
      <c r="A44" t="s">
        <v>326</v>
      </c>
    </row>
    <row r="45" spans="1:1">
      <c r="A45" t="s">
        <v>327</v>
      </c>
    </row>
    <row r="46" spans="1:1">
      <c r="A46" t="s">
        <v>328</v>
      </c>
    </row>
    <row r="47" spans="1:1">
      <c r="A47" t="s">
        <v>117</v>
      </c>
    </row>
    <row r="48" spans="1:1">
      <c r="A48" t="s">
        <v>329</v>
      </c>
    </row>
    <row r="49" spans="1:1">
      <c r="A49" t="s">
        <v>330</v>
      </c>
    </row>
    <row r="50" spans="1:1">
      <c r="A50" t="s">
        <v>331</v>
      </c>
    </row>
    <row r="51" spans="1:1">
      <c r="A51" t="s">
        <v>332</v>
      </c>
    </row>
    <row r="52" spans="1:1">
      <c r="A52" t="s">
        <v>333</v>
      </c>
    </row>
    <row r="53" spans="1:1">
      <c r="A53" t="s">
        <v>123</v>
      </c>
    </row>
    <row r="54" spans="1:1">
      <c r="A54" t="s">
        <v>124</v>
      </c>
    </row>
    <row r="55" spans="1:1">
      <c r="A55" t="s">
        <v>125</v>
      </c>
    </row>
    <row r="56" spans="1:1">
      <c r="A56" t="s">
        <v>84</v>
      </c>
    </row>
    <row r="57" spans="1:1">
      <c r="A57" t="s">
        <v>334</v>
      </c>
    </row>
    <row r="58" spans="1:1">
      <c r="A58" t="s">
        <v>127</v>
      </c>
    </row>
    <row r="59" spans="1:1">
      <c r="A59" t="s">
        <v>335</v>
      </c>
    </row>
    <row r="60" spans="1:1">
      <c r="A60" t="s">
        <v>129</v>
      </c>
    </row>
    <row r="61" spans="1:1">
      <c r="A61" t="s">
        <v>130</v>
      </c>
    </row>
    <row r="62" spans="1:1">
      <c r="A62" t="s">
        <v>336</v>
      </c>
    </row>
    <row r="63" spans="1:1">
      <c r="A63" t="s">
        <v>337</v>
      </c>
    </row>
    <row r="64" spans="1:1">
      <c r="A64" t="s">
        <v>338</v>
      </c>
    </row>
    <row r="65" spans="1:1">
      <c r="A65" t="s">
        <v>339</v>
      </c>
    </row>
    <row r="66" spans="1:1">
      <c r="A66" t="s">
        <v>135</v>
      </c>
    </row>
    <row r="67" spans="1:1">
      <c r="A67" t="s">
        <v>136</v>
      </c>
    </row>
    <row r="68" spans="1:1">
      <c r="A68" t="s">
        <v>228</v>
      </c>
    </row>
    <row r="69" spans="1:1">
      <c r="A69" t="s">
        <v>340</v>
      </c>
    </row>
    <row r="70" spans="1:1">
      <c r="A70" t="s">
        <v>341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E1B1-38E1-458B-BDD5-C1ED3C23EDF8}">
  <dimension ref="A1:F78"/>
  <sheetViews>
    <sheetView topLeftCell="A5" workbookViewId="0">
      <selection activeCell="F30" sqref="F30"/>
    </sheetView>
  </sheetViews>
  <sheetFormatPr defaultRowHeight="15"/>
  <cols>
    <col min="1" max="1" width="30" customWidth="1"/>
    <col min="2" max="3" width="18" customWidth="1"/>
    <col min="4" max="4" width="21.140625" customWidth="1"/>
    <col min="5" max="6" width="18" customWidth="1"/>
  </cols>
  <sheetData>
    <row r="1" spans="1:6">
      <c r="A1" s="1" t="s">
        <v>0</v>
      </c>
    </row>
    <row r="2" spans="1:6">
      <c r="A2" s="1"/>
    </row>
    <row r="3" spans="1:6">
      <c r="A3" t="s">
        <v>1</v>
      </c>
      <c r="B3" s="4" t="s">
        <v>2</v>
      </c>
      <c r="C3" s="7" t="s">
        <v>3</v>
      </c>
      <c r="D3" s="5" t="s">
        <v>4</v>
      </c>
      <c r="E3" s="6" t="s">
        <v>5</v>
      </c>
      <c r="F3" t="s">
        <v>6</v>
      </c>
    </row>
    <row r="4" spans="1:6" ht="60.75">
      <c r="B4" s="2" t="s">
        <v>7</v>
      </c>
      <c r="C4" s="2" t="s">
        <v>8</v>
      </c>
      <c r="D4" s="2" t="s">
        <v>9</v>
      </c>
      <c r="E4" s="2" t="s">
        <v>10</v>
      </c>
    </row>
    <row r="5" spans="1:6">
      <c r="B5" s="2"/>
      <c r="C5" s="2"/>
      <c r="D5" s="2"/>
      <c r="E5" s="2"/>
    </row>
    <row r="6" spans="1:6">
      <c r="A6" s="9" t="s">
        <v>11</v>
      </c>
    </row>
    <row r="7" spans="1:6">
      <c r="A7" s="9"/>
      <c r="B7">
        <f>COUNTIF(B9:D31,TRUE)</f>
        <v>15</v>
      </c>
    </row>
    <row r="8" spans="1:6">
      <c r="A8" t="s">
        <v>12</v>
      </c>
      <c r="B8" t="s">
        <v>13</v>
      </c>
      <c r="C8" t="s">
        <v>14</v>
      </c>
      <c r="D8" t="s">
        <v>15</v>
      </c>
    </row>
    <row r="9" spans="1:6">
      <c r="A9" t="s">
        <v>16</v>
      </c>
      <c r="B9" s="3" t="b">
        <v>1</v>
      </c>
      <c r="C9" s="3" t="b">
        <v>0</v>
      </c>
      <c r="D9" s="3" t="b">
        <v>0</v>
      </c>
    </row>
    <row r="10" spans="1:6">
      <c r="A10" t="s">
        <v>17</v>
      </c>
      <c r="B10" s="3" t="b">
        <v>1</v>
      </c>
      <c r="C10" s="3" t="b">
        <v>0</v>
      </c>
      <c r="D10" s="3" t="b">
        <v>0</v>
      </c>
    </row>
    <row r="11" spans="1:6">
      <c r="A11" t="s">
        <v>18</v>
      </c>
      <c r="B11" s="3" t="b">
        <v>1</v>
      </c>
      <c r="C11" s="3" t="b">
        <v>0</v>
      </c>
      <c r="D11" s="3" t="b">
        <v>0</v>
      </c>
    </row>
    <row r="12" spans="1:6">
      <c r="A12" t="s">
        <v>19</v>
      </c>
      <c r="B12" s="3" t="b">
        <v>1</v>
      </c>
      <c r="C12" s="3" t="b">
        <v>0</v>
      </c>
      <c r="D12" s="3" t="b">
        <v>0</v>
      </c>
    </row>
    <row r="13" spans="1:6">
      <c r="A13" t="s">
        <v>20</v>
      </c>
      <c r="B13" s="3" t="b">
        <v>1</v>
      </c>
      <c r="C13" s="3" t="b">
        <v>0</v>
      </c>
      <c r="D13" s="3" t="b">
        <v>0</v>
      </c>
    </row>
    <row r="14" spans="1:6">
      <c r="A14" t="s">
        <v>21</v>
      </c>
      <c r="B14" s="3" t="b">
        <v>1</v>
      </c>
      <c r="C14" s="3" t="b">
        <v>0</v>
      </c>
      <c r="D14" s="3" t="b">
        <v>0</v>
      </c>
      <c r="E14" t="s">
        <v>22</v>
      </c>
      <c r="F14">
        <f>SUM(B6:D31)</f>
        <v>15</v>
      </c>
    </row>
    <row r="15" spans="1:6">
      <c r="A15" t="s">
        <v>23</v>
      </c>
      <c r="B15" s="3" t="b">
        <v>1</v>
      </c>
      <c r="C15" s="3" t="b">
        <v>0</v>
      </c>
      <c r="D15" s="3" t="b">
        <v>0</v>
      </c>
      <c r="E15" t="s">
        <v>24</v>
      </c>
      <c r="F15" t="str">
        <f>IF(F14&gt;=22,"Avançado",IF(F14&gt;=16,"Adequado",IF(F14&gt;=10,"Básico","Iniciante")))</f>
        <v>Básico</v>
      </c>
    </row>
    <row r="16" spans="1:6">
      <c r="F16" t="s">
        <v>342</v>
      </c>
    </row>
    <row r="17" spans="1:4">
      <c r="A17" s="9" t="s">
        <v>25</v>
      </c>
    </row>
    <row r="18" spans="1:4">
      <c r="A18" s="2"/>
    </row>
    <row r="19" spans="1:4">
      <c r="A19" s="2" t="s">
        <v>1</v>
      </c>
      <c r="B19" t="s">
        <v>26</v>
      </c>
      <c r="C19" t="s">
        <v>14</v>
      </c>
      <c r="D19" t="s">
        <v>27</v>
      </c>
    </row>
    <row r="20" spans="1:4">
      <c r="A20" s="8" t="s">
        <v>28</v>
      </c>
      <c r="B20" s="3" t="b">
        <v>1</v>
      </c>
      <c r="C20" s="3" t="b">
        <v>0</v>
      </c>
      <c r="D20" s="3" t="b">
        <v>0</v>
      </c>
    </row>
    <row r="21" spans="1:4">
      <c r="A21" s="8" t="s">
        <v>29</v>
      </c>
      <c r="B21" s="3" t="b">
        <v>1</v>
      </c>
      <c r="C21" s="3" t="b">
        <v>0</v>
      </c>
      <c r="D21" s="3" t="b">
        <v>0</v>
      </c>
    </row>
    <row r="22" spans="1:4">
      <c r="A22" s="2" t="s">
        <v>30</v>
      </c>
      <c r="B22" s="3" t="b">
        <v>1</v>
      </c>
      <c r="C22" s="3" t="b">
        <v>0</v>
      </c>
      <c r="D22" s="3" t="b">
        <v>0</v>
      </c>
    </row>
    <row r="23" spans="1:4">
      <c r="A23" s="2" t="s">
        <v>31</v>
      </c>
      <c r="B23" s="3" t="b">
        <v>0</v>
      </c>
      <c r="C23" s="3" t="b">
        <v>1</v>
      </c>
      <c r="D23" s="3" t="b">
        <v>0</v>
      </c>
    </row>
    <row r="24" spans="1:4">
      <c r="A24" s="2"/>
    </row>
    <row r="25" spans="1:4">
      <c r="A25" s="10" t="s">
        <v>32</v>
      </c>
    </row>
    <row r="27" spans="1:4" ht="30.75">
      <c r="A27" t="s">
        <v>1</v>
      </c>
      <c r="B27" t="s">
        <v>26</v>
      </c>
      <c r="C27" s="16" t="s">
        <v>33</v>
      </c>
      <c r="D27" s="15" t="s">
        <v>34</v>
      </c>
    </row>
    <row r="28" spans="1:4">
      <c r="A28" t="s">
        <v>35</v>
      </c>
      <c r="B28" s="3" t="b">
        <v>0</v>
      </c>
      <c r="C28" s="3" t="b">
        <v>1</v>
      </c>
      <c r="D28" s="3" t="b">
        <v>0</v>
      </c>
    </row>
    <row r="29" spans="1:4">
      <c r="A29" t="s">
        <v>6</v>
      </c>
      <c r="B29" s="3" t="b">
        <v>0</v>
      </c>
      <c r="C29" s="3" t="b">
        <v>1</v>
      </c>
      <c r="D29" s="3" t="b">
        <v>0</v>
      </c>
    </row>
    <row r="30" spans="1:4">
      <c r="A30" t="s">
        <v>36</v>
      </c>
      <c r="B30" s="3" t="b">
        <v>0</v>
      </c>
      <c r="C30" s="3" t="b">
        <v>1</v>
      </c>
      <c r="D30" s="3" t="b">
        <v>0</v>
      </c>
    </row>
    <row r="31" spans="1:4">
      <c r="A31" t="s">
        <v>37</v>
      </c>
      <c r="B31" s="3" t="b">
        <v>1</v>
      </c>
      <c r="C31" s="3" t="b">
        <v>0</v>
      </c>
      <c r="D31" s="3" t="b">
        <v>0</v>
      </c>
    </row>
    <row r="34" spans="1:1">
      <c r="A34" t="s">
        <v>46</v>
      </c>
    </row>
    <row r="35" spans="1:1">
      <c r="A35" t="s">
        <v>343</v>
      </c>
    </row>
    <row r="37" spans="1:1">
      <c r="A37" t="s">
        <v>46</v>
      </c>
    </row>
    <row r="38" spans="1:1">
      <c r="A38" t="s">
        <v>344</v>
      </c>
    </row>
    <row r="39" spans="1:1">
      <c r="A39" t="s">
        <v>345</v>
      </c>
    </row>
    <row r="41" spans="1:1">
      <c r="A41" t="s">
        <v>46</v>
      </c>
    </row>
    <row r="42" spans="1:1">
      <c r="A42" t="s">
        <v>346</v>
      </c>
    </row>
    <row r="44" spans="1:1">
      <c r="A44" t="s">
        <v>112</v>
      </c>
    </row>
    <row r="45" spans="1:1">
      <c r="A45" t="s">
        <v>71</v>
      </c>
    </row>
    <row r="46" spans="1:1">
      <c r="A46" t="s">
        <v>347</v>
      </c>
    </row>
    <row r="47" spans="1:1">
      <c r="A47" t="s">
        <v>348</v>
      </c>
    </row>
    <row r="48" spans="1:1">
      <c r="A48" t="s">
        <v>349</v>
      </c>
    </row>
    <row r="49" spans="1:1">
      <c r="A49" t="s">
        <v>350</v>
      </c>
    </row>
    <row r="50" spans="1:1">
      <c r="A50" t="s">
        <v>351</v>
      </c>
    </row>
    <row r="51" spans="1:1">
      <c r="A51" t="s">
        <v>149</v>
      </c>
    </row>
    <row r="52" spans="1:1">
      <c r="A52" t="s">
        <v>117</v>
      </c>
    </row>
    <row r="53" spans="1:1">
      <c r="A53" t="s">
        <v>352</v>
      </c>
    </row>
    <row r="54" spans="1:1">
      <c r="A54" t="s">
        <v>353</v>
      </c>
    </row>
    <row r="55" spans="1:1">
      <c r="A55" t="s">
        <v>354</v>
      </c>
    </row>
    <row r="56" spans="1:1">
      <c r="A56" t="s">
        <v>123</v>
      </c>
    </row>
    <row r="57" spans="1:1">
      <c r="A57" t="s">
        <v>124</v>
      </c>
    </row>
    <row r="58" spans="1:1">
      <c r="A58" t="s">
        <v>355</v>
      </c>
    </row>
    <row r="59" spans="1:1">
      <c r="A59" t="s">
        <v>84</v>
      </c>
    </row>
    <row r="60" spans="1:1">
      <c r="A60" t="s">
        <v>155</v>
      </c>
    </row>
    <row r="61" spans="1:1">
      <c r="A61" t="s">
        <v>356</v>
      </c>
    </row>
    <row r="62" spans="1:1">
      <c r="A62" t="s">
        <v>357</v>
      </c>
    </row>
    <row r="63" spans="1:1">
      <c r="A63" t="s">
        <v>358</v>
      </c>
    </row>
    <row r="64" spans="1:1">
      <c r="A64" t="s">
        <v>359</v>
      </c>
    </row>
    <row r="65" spans="1:1">
      <c r="A65" t="s">
        <v>360</v>
      </c>
    </row>
    <row r="66" spans="1:1">
      <c r="A66" t="s">
        <v>127</v>
      </c>
    </row>
    <row r="67" spans="1:1">
      <c r="A67" t="s">
        <v>361</v>
      </c>
    </row>
    <row r="68" spans="1:1">
      <c r="A68" t="s">
        <v>129</v>
      </c>
    </row>
    <row r="69" spans="1:1">
      <c r="A69" t="s">
        <v>362</v>
      </c>
    </row>
    <row r="70" spans="1:1">
      <c r="A70" t="s">
        <v>363</v>
      </c>
    </row>
    <row r="71" spans="1:1">
      <c r="A71" t="s">
        <v>162</v>
      </c>
    </row>
    <row r="72" spans="1:1">
      <c r="A72" t="s">
        <v>364</v>
      </c>
    </row>
    <row r="73" spans="1:1">
      <c r="A73" t="s">
        <v>135</v>
      </c>
    </row>
    <row r="74" spans="1:1">
      <c r="A74" t="s">
        <v>136</v>
      </c>
    </row>
    <row r="75" spans="1:1">
      <c r="A75" t="s">
        <v>365</v>
      </c>
    </row>
    <row r="76" spans="1:1">
      <c r="A76" t="s">
        <v>366</v>
      </c>
    </row>
    <row r="77" spans="1:1">
      <c r="A77" t="s">
        <v>367</v>
      </c>
    </row>
    <row r="78" spans="1:1">
      <c r="A78" t="s">
        <v>368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29B3-169E-4257-9977-0C7F7EF6E053}">
  <dimension ref="A1:F82"/>
  <sheetViews>
    <sheetView topLeftCell="A9" workbookViewId="0">
      <selection activeCell="F20" sqref="F20"/>
    </sheetView>
  </sheetViews>
  <sheetFormatPr defaultRowHeight="15"/>
  <cols>
    <col min="1" max="1" width="30" customWidth="1"/>
    <col min="2" max="3" width="18" customWidth="1"/>
    <col min="4" max="4" width="21.140625" customWidth="1"/>
    <col min="5" max="6" width="18" customWidth="1"/>
  </cols>
  <sheetData>
    <row r="1" spans="1:6">
      <c r="A1" s="1" t="s">
        <v>0</v>
      </c>
    </row>
    <row r="2" spans="1:6">
      <c r="A2" s="1"/>
    </row>
    <row r="3" spans="1:6">
      <c r="A3" t="s">
        <v>1</v>
      </c>
      <c r="B3" s="4" t="s">
        <v>2</v>
      </c>
      <c r="C3" s="7" t="s">
        <v>3</v>
      </c>
      <c r="D3" s="5" t="s">
        <v>4</v>
      </c>
      <c r="E3" s="6" t="s">
        <v>5</v>
      </c>
      <c r="F3" t="s">
        <v>6</v>
      </c>
    </row>
    <row r="4" spans="1:6" ht="60.75">
      <c r="B4" s="2" t="s">
        <v>7</v>
      </c>
      <c r="C4" s="2" t="s">
        <v>8</v>
      </c>
      <c r="D4" s="2" t="s">
        <v>9</v>
      </c>
      <c r="E4" s="2" t="s">
        <v>10</v>
      </c>
    </row>
    <row r="5" spans="1:6">
      <c r="B5" s="2"/>
      <c r="C5" s="2"/>
      <c r="D5" s="2"/>
      <c r="E5" s="2"/>
    </row>
    <row r="6" spans="1:6">
      <c r="A6" s="9" t="s">
        <v>11</v>
      </c>
    </row>
    <row r="7" spans="1:6">
      <c r="A7" s="9"/>
      <c r="B7">
        <f>COUNTIF(B9:D31,TRUE)</f>
        <v>15</v>
      </c>
    </row>
    <row r="8" spans="1:6">
      <c r="A8" t="s">
        <v>12</v>
      </c>
      <c r="B8" t="s">
        <v>13</v>
      </c>
      <c r="C8" t="s">
        <v>14</v>
      </c>
      <c r="D8" t="s">
        <v>15</v>
      </c>
    </row>
    <row r="9" spans="1:6">
      <c r="A9" t="s">
        <v>16</v>
      </c>
      <c r="B9" s="3" t="b">
        <v>0</v>
      </c>
      <c r="C9" s="3" t="b">
        <v>0</v>
      </c>
      <c r="D9" s="3" t="b">
        <v>1</v>
      </c>
    </row>
    <row r="10" spans="1:6">
      <c r="A10" t="s">
        <v>17</v>
      </c>
      <c r="B10" s="3" t="b">
        <v>0</v>
      </c>
      <c r="C10" s="3" t="b">
        <v>1</v>
      </c>
      <c r="D10" s="3" t="b">
        <v>0</v>
      </c>
    </row>
    <row r="11" spans="1:6">
      <c r="A11" t="s">
        <v>18</v>
      </c>
      <c r="B11" s="3" t="b">
        <v>1</v>
      </c>
      <c r="C11" s="3" t="b">
        <v>0</v>
      </c>
      <c r="D11" s="3" t="b">
        <v>0</v>
      </c>
    </row>
    <row r="12" spans="1:6">
      <c r="A12" t="s">
        <v>19</v>
      </c>
      <c r="B12" s="3" t="b">
        <v>1</v>
      </c>
      <c r="C12" s="3" t="b">
        <v>0</v>
      </c>
      <c r="D12" s="3" t="b">
        <v>0</v>
      </c>
    </row>
    <row r="13" spans="1:6">
      <c r="A13" t="s">
        <v>20</v>
      </c>
      <c r="B13" s="3" t="b">
        <v>0</v>
      </c>
      <c r="C13" s="3" t="b">
        <v>1</v>
      </c>
      <c r="D13" s="3" t="b">
        <v>0</v>
      </c>
    </row>
    <row r="14" spans="1:6">
      <c r="A14" t="s">
        <v>21</v>
      </c>
      <c r="B14" s="3" t="b">
        <v>1</v>
      </c>
      <c r="C14" s="3" t="b">
        <v>0</v>
      </c>
      <c r="D14" s="3" t="b">
        <v>0</v>
      </c>
      <c r="E14" t="s">
        <v>22</v>
      </c>
      <c r="F14">
        <f>SUM(B6:D31)</f>
        <v>15</v>
      </c>
    </row>
    <row r="15" spans="1:6">
      <c r="A15" t="s">
        <v>23</v>
      </c>
      <c r="B15" s="3" t="b">
        <v>0</v>
      </c>
      <c r="C15" s="3" t="b">
        <v>1</v>
      </c>
      <c r="D15" s="3" t="b">
        <v>0</v>
      </c>
      <c r="E15" t="s">
        <v>24</v>
      </c>
      <c r="F15" t="str">
        <f>IF(F14&gt;=22,"Avançado",IF(F14&gt;=16,"Adequado",IF(F14&gt;=10,"Básico","Iniciante")))</f>
        <v>Básico</v>
      </c>
    </row>
    <row r="16" spans="1:6">
      <c r="F16" t="s">
        <v>140</v>
      </c>
    </row>
    <row r="17" spans="1:4">
      <c r="A17" s="9" t="s">
        <v>25</v>
      </c>
    </row>
    <row r="18" spans="1:4">
      <c r="A18" s="2"/>
    </row>
    <row r="19" spans="1:4">
      <c r="A19" s="2" t="s">
        <v>1</v>
      </c>
      <c r="B19" t="s">
        <v>26</v>
      </c>
      <c r="C19" t="s">
        <v>14</v>
      </c>
      <c r="D19" t="s">
        <v>27</v>
      </c>
    </row>
    <row r="20" spans="1:4">
      <c r="A20" s="8" t="s">
        <v>28</v>
      </c>
      <c r="B20" s="3" t="b">
        <v>1</v>
      </c>
      <c r="C20" s="3" t="b">
        <v>0</v>
      </c>
      <c r="D20" s="3" t="b">
        <v>0</v>
      </c>
    </row>
    <row r="21" spans="1:4">
      <c r="A21" s="8" t="s">
        <v>29</v>
      </c>
      <c r="B21" s="3" t="b">
        <v>1</v>
      </c>
      <c r="C21" s="3" t="b">
        <v>0</v>
      </c>
      <c r="D21" s="3" t="b">
        <v>0</v>
      </c>
    </row>
    <row r="22" spans="1:4">
      <c r="A22" s="2" t="s">
        <v>30</v>
      </c>
      <c r="B22" s="3" t="b">
        <v>1</v>
      </c>
      <c r="C22" s="3" t="b">
        <v>0</v>
      </c>
      <c r="D22" s="3" t="b">
        <v>0</v>
      </c>
    </row>
    <row r="23" spans="1:4">
      <c r="A23" s="2" t="s">
        <v>31</v>
      </c>
      <c r="B23" s="3" t="b">
        <v>0</v>
      </c>
      <c r="C23" s="3" t="b">
        <v>1</v>
      </c>
      <c r="D23" s="3" t="b">
        <v>0</v>
      </c>
    </row>
    <row r="24" spans="1:4">
      <c r="A24" s="2"/>
    </row>
    <row r="25" spans="1:4">
      <c r="A25" s="10" t="s">
        <v>32</v>
      </c>
    </row>
    <row r="27" spans="1:4" ht="30.75">
      <c r="A27" t="s">
        <v>1</v>
      </c>
      <c r="B27" t="s">
        <v>26</v>
      </c>
      <c r="C27" s="16" t="s">
        <v>33</v>
      </c>
      <c r="D27" s="15" t="s">
        <v>34</v>
      </c>
    </row>
    <row r="28" spans="1:4">
      <c r="A28" t="s">
        <v>35</v>
      </c>
      <c r="B28" s="3" t="b">
        <v>0</v>
      </c>
      <c r="C28" s="3" t="b">
        <v>1</v>
      </c>
      <c r="D28" s="3" t="b">
        <v>0</v>
      </c>
    </row>
    <row r="29" spans="1:4">
      <c r="A29" t="s">
        <v>6</v>
      </c>
      <c r="B29" s="3" t="b">
        <v>0</v>
      </c>
      <c r="C29" s="3" t="b">
        <v>1</v>
      </c>
      <c r="D29" s="3" t="b">
        <v>0</v>
      </c>
    </row>
    <row r="30" spans="1:4">
      <c r="A30" t="s">
        <v>36</v>
      </c>
      <c r="B30" s="3" t="b">
        <v>0</v>
      </c>
      <c r="C30" s="3" t="b">
        <v>1</v>
      </c>
      <c r="D30" s="3" t="b">
        <v>0</v>
      </c>
    </row>
    <row r="31" spans="1:4">
      <c r="A31" t="s">
        <v>37</v>
      </c>
      <c r="B31" s="3" t="b">
        <v>0</v>
      </c>
      <c r="C31" s="3" t="b">
        <v>1</v>
      </c>
      <c r="D31" s="3" t="b">
        <v>0</v>
      </c>
    </row>
    <row r="34" spans="1:1">
      <c r="A34" t="s">
        <v>46</v>
      </c>
    </row>
    <row r="35" spans="1:1">
      <c r="A35" t="s">
        <v>369</v>
      </c>
    </row>
    <row r="36" spans="1:1">
      <c r="A36" t="s">
        <v>370</v>
      </c>
    </row>
    <row r="38" spans="1:1">
      <c r="A38" t="s">
        <v>46</v>
      </c>
    </row>
    <row r="39" spans="1:1">
      <c r="A39" t="s">
        <v>371</v>
      </c>
    </row>
    <row r="40" spans="1:1">
      <c r="A40" t="s">
        <v>372</v>
      </c>
    </row>
    <row r="41" spans="1:1">
      <c r="A41" t="s">
        <v>373</v>
      </c>
    </row>
    <row r="42" spans="1:1">
      <c r="A42" t="s">
        <v>374</v>
      </c>
    </row>
    <row r="43" spans="1:1">
      <c r="A43" t="s">
        <v>375</v>
      </c>
    </row>
    <row r="45" spans="1:1">
      <c r="A45" t="s">
        <v>46</v>
      </c>
    </row>
    <row r="46" spans="1:1">
      <c r="A46" t="s">
        <v>376</v>
      </c>
    </row>
    <row r="47" spans="1:1">
      <c r="A47" t="s">
        <v>112</v>
      </c>
    </row>
    <row r="48" spans="1:1">
      <c r="A48" t="s">
        <v>377</v>
      </c>
    </row>
    <row r="49" spans="1:1">
      <c r="A49" t="s">
        <v>347</v>
      </c>
    </row>
    <row r="50" spans="1:1">
      <c r="A50" t="s">
        <v>378</v>
      </c>
    </row>
    <row r="51" spans="1:1">
      <c r="A51" t="s">
        <v>379</v>
      </c>
    </row>
    <row r="52" spans="1:1">
      <c r="A52" t="s">
        <v>380</v>
      </c>
    </row>
    <row r="53" spans="1:1">
      <c r="A53" t="s">
        <v>381</v>
      </c>
    </row>
    <row r="54" spans="1:1">
      <c r="A54" t="s">
        <v>382</v>
      </c>
    </row>
    <row r="55" spans="1:1">
      <c r="A55" t="s">
        <v>117</v>
      </c>
    </row>
    <row r="56" spans="1:1">
      <c r="A56" t="s">
        <v>383</v>
      </c>
    </row>
    <row r="57" spans="1:1">
      <c r="A57" t="s">
        <v>384</v>
      </c>
    </row>
    <row r="58" spans="1:1">
      <c r="A58" t="s">
        <v>385</v>
      </c>
    </row>
    <row r="59" spans="1:1">
      <c r="A59" t="s">
        <v>386</v>
      </c>
    </row>
    <row r="60" spans="1:1">
      <c r="A60" t="s">
        <v>123</v>
      </c>
    </row>
    <row r="61" spans="1:1">
      <c r="A61" t="s">
        <v>124</v>
      </c>
    </row>
    <row r="62" spans="1:1">
      <c r="A62" t="s">
        <v>154</v>
      </c>
    </row>
    <row r="63" spans="1:1">
      <c r="A63" t="s">
        <v>84</v>
      </c>
    </row>
    <row r="64" spans="1:1">
      <c r="A64" t="s">
        <v>387</v>
      </c>
    </row>
    <row r="65" spans="1:1">
      <c r="A65" t="s">
        <v>156</v>
      </c>
    </row>
    <row r="66" spans="1:1">
      <c r="A66" t="s">
        <v>388</v>
      </c>
    </row>
    <row r="67" spans="1:1">
      <c r="A67" t="s">
        <v>389</v>
      </c>
    </row>
    <row r="68" spans="1:1">
      <c r="A68" t="s">
        <v>390</v>
      </c>
    </row>
    <row r="69" spans="1:1">
      <c r="A69" t="s">
        <v>391</v>
      </c>
    </row>
    <row r="70" spans="1:1">
      <c r="A70" t="s">
        <v>392</v>
      </c>
    </row>
    <row r="71" spans="1:1">
      <c r="A71" t="s">
        <v>129</v>
      </c>
    </row>
    <row r="72" spans="1:1">
      <c r="A72" t="s">
        <v>130</v>
      </c>
    </row>
    <row r="73" spans="1:1">
      <c r="A73" t="s">
        <v>393</v>
      </c>
    </row>
    <row r="74" spans="1:1">
      <c r="A74" t="s">
        <v>394</v>
      </c>
    </row>
    <row r="75" spans="1:1">
      <c r="A75" t="s">
        <v>395</v>
      </c>
    </row>
    <row r="76" spans="1:1">
      <c r="A76" t="s">
        <v>396</v>
      </c>
    </row>
    <row r="77" spans="1:1">
      <c r="A77" t="s">
        <v>135</v>
      </c>
    </row>
    <row r="78" spans="1:1">
      <c r="A78" t="s">
        <v>136</v>
      </c>
    </row>
    <row r="79" spans="1:1">
      <c r="A79" t="s">
        <v>164</v>
      </c>
    </row>
    <row r="80" spans="1:1">
      <c r="A80" t="s">
        <v>397</v>
      </c>
    </row>
    <row r="81" spans="1:1">
      <c r="A81" t="s">
        <v>398</v>
      </c>
    </row>
    <row r="82" spans="1:1">
      <c r="A82" t="s">
        <v>167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7D184-B68C-4DAC-92A9-AAF72D0C32D4}">
  <dimension ref="A1:F67"/>
  <sheetViews>
    <sheetView topLeftCell="A5" workbookViewId="0">
      <selection activeCell="F10" sqref="F10"/>
    </sheetView>
  </sheetViews>
  <sheetFormatPr defaultRowHeight="15"/>
  <cols>
    <col min="1" max="1" width="30" customWidth="1"/>
    <col min="2" max="3" width="18" customWidth="1"/>
    <col min="4" max="4" width="21.140625" customWidth="1"/>
    <col min="5" max="6" width="18" customWidth="1"/>
  </cols>
  <sheetData>
    <row r="1" spans="1:6">
      <c r="A1" s="1" t="s">
        <v>0</v>
      </c>
    </row>
    <row r="2" spans="1:6">
      <c r="A2" s="1"/>
    </row>
    <row r="3" spans="1:6">
      <c r="A3" t="s">
        <v>1</v>
      </c>
      <c r="B3" s="4" t="s">
        <v>2</v>
      </c>
      <c r="C3" s="7" t="s">
        <v>3</v>
      </c>
      <c r="D3" s="5" t="s">
        <v>4</v>
      </c>
      <c r="E3" s="6" t="s">
        <v>5</v>
      </c>
      <c r="F3" t="s">
        <v>6</v>
      </c>
    </row>
    <row r="4" spans="1:6" ht="60.75">
      <c r="B4" s="2" t="s">
        <v>7</v>
      </c>
      <c r="C4" s="2" t="s">
        <v>8</v>
      </c>
      <c r="D4" s="2" t="s">
        <v>9</v>
      </c>
      <c r="E4" s="2" t="s">
        <v>10</v>
      </c>
    </row>
    <row r="5" spans="1:6">
      <c r="B5" s="2"/>
      <c r="C5" s="2"/>
      <c r="D5" s="2"/>
      <c r="E5" s="2"/>
    </row>
    <row r="6" spans="1:6">
      <c r="A6" s="9" t="s">
        <v>11</v>
      </c>
    </row>
    <row r="7" spans="1:6">
      <c r="A7" s="9"/>
      <c r="B7">
        <f>COUNTIF(B9:D31,TRUE)</f>
        <v>15</v>
      </c>
    </row>
    <row r="8" spans="1:6">
      <c r="A8" t="s">
        <v>12</v>
      </c>
      <c r="B8" t="s">
        <v>13</v>
      </c>
      <c r="C8" t="s">
        <v>14</v>
      </c>
      <c r="D8" t="s">
        <v>15</v>
      </c>
    </row>
    <row r="9" spans="1:6">
      <c r="A9" t="s">
        <v>16</v>
      </c>
      <c r="B9" s="3" t="b">
        <v>0</v>
      </c>
      <c r="C9" s="3" t="b">
        <v>1</v>
      </c>
      <c r="D9" s="3" t="b">
        <v>0</v>
      </c>
    </row>
    <row r="10" spans="1:6">
      <c r="A10" t="s">
        <v>17</v>
      </c>
      <c r="B10" s="3" t="b">
        <v>0</v>
      </c>
      <c r="C10" s="3" t="b">
        <v>0</v>
      </c>
      <c r="D10" s="3" t="b">
        <v>1</v>
      </c>
    </row>
    <row r="11" spans="1:6">
      <c r="A11" t="s">
        <v>18</v>
      </c>
      <c r="B11" s="3" t="b">
        <v>0</v>
      </c>
      <c r="C11" s="3" t="b">
        <v>1</v>
      </c>
      <c r="D11" s="3" t="b">
        <v>0</v>
      </c>
    </row>
    <row r="12" spans="1:6">
      <c r="A12" t="s">
        <v>19</v>
      </c>
      <c r="B12" s="3" t="b">
        <v>0</v>
      </c>
      <c r="C12" s="3" t="b">
        <v>0</v>
      </c>
      <c r="D12" s="3" t="b">
        <v>1</v>
      </c>
    </row>
    <row r="13" spans="1:6">
      <c r="A13" t="s">
        <v>20</v>
      </c>
      <c r="B13" s="3" t="b">
        <v>0</v>
      </c>
      <c r="C13" s="3" t="b">
        <v>0</v>
      </c>
      <c r="D13" s="3" t="b">
        <v>1</v>
      </c>
    </row>
    <row r="14" spans="1:6">
      <c r="A14" t="s">
        <v>21</v>
      </c>
      <c r="B14" s="3" t="b">
        <v>0</v>
      </c>
      <c r="C14" s="3" t="b">
        <v>0</v>
      </c>
      <c r="D14" s="3" t="b">
        <v>1</v>
      </c>
      <c r="E14" t="s">
        <v>22</v>
      </c>
      <c r="F14">
        <f>SUM(B6:D31)</f>
        <v>15</v>
      </c>
    </row>
    <row r="15" spans="1:6">
      <c r="A15" t="s">
        <v>23</v>
      </c>
      <c r="B15" s="3" t="b">
        <v>0</v>
      </c>
      <c r="C15" s="3" t="b">
        <v>1</v>
      </c>
      <c r="D15" s="3" t="b">
        <v>0</v>
      </c>
      <c r="E15" t="s">
        <v>24</v>
      </c>
      <c r="F15" t="str">
        <f>IF(F14&gt;=22,"Avançado",IF(F14&gt;=16,"Adequado",IF(F14&gt;=10,"Básico","Iniciante")))</f>
        <v>Básico</v>
      </c>
    </row>
    <row r="16" spans="1:6">
      <c r="F16" t="s">
        <v>108</v>
      </c>
    </row>
    <row r="17" spans="1:4">
      <c r="A17" s="9" t="s">
        <v>25</v>
      </c>
    </row>
    <row r="18" spans="1:4">
      <c r="A18" s="2"/>
    </row>
    <row r="19" spans="1:4">
      <c r="A19" s="2" t="s">
        <v>1</v>
      </c>
      <c r="B19" t="s">
        <v>26</v>
      </c>
      <c r="C19" t="s">
        <v>14</v>
      </c>
      <c r="D19" t="s">
        <v>27</v>
      </c>
    </row>
    <row r="20" spans="1:4">
      <c r="A20" s="8" t="s">
        <v>28</v>
      </c>
      <c r="B20" s="3" t="b">
        <v>0</v>
      </c>
      <c r="C20" s="3" t="b">
        <v>1</v>
      </c>
      <c r="D20" s="3" t="b">
        <v>0</v>
      </c>
    </row>
    <row r="21" spans="1:4">
      <c r="A21" s="8" t="s">
        <v>29</v>
      </c>
      <c r="B21" s="3" t="b">
        <v>0</v>
      </c>
      <c r="C21" s="3" t="b">
        <v>1</v>
      </c>
      <c r="D21" s="3" t="b">
        <v>0</v>
      </c>
    </row>
    <row r="22" spans="1:4">
      <c r="A22" s="2" t="s">
        <v>30</v>
      </c>
      <c r="B22" s="3" t="b">
        <v>0</v>
      </c>
      <c r="C22" s="3" t="b">
        <v>0</v>
      </c>
      <c r="D22" s="3" t="b">
        <v>1</v>
      </c>
    </row>
    <row r="23" spans="1:4">
      <c r="A23" s="2" t="s">
        <v>31</v>
      </c>
      <c r="B23" s="3" t="b">
        <v>0</v>
      </c>
      <c r="C23" s="3" t="b">
        <v>0</v>
      </c>
      <c r="D23" s="3" t="b">
        <v>1</v>
      </c>
    </row>
    <row r="24" spans="1:4">
      <c r="A24" s="2"/>
    </row>
    <row r="25" spans="1:4">
      <c r="A25" s="10" t="s">
        <v>32</v>
      </c>
    </row>
    <row r="27" spans="1:4" ht="30.75">
      <c r="A27" t="s">
        <v>1</v>
      </c>
      <c r="B27" t="s">
        <v>26</v>
      </c>
      <c r="C27" s="16" t="s">
        <v>33</v>
      </c>
      <c r="D27" s="15" t="s">
        <v>34</v>
      </c>
    </row>
    <row r="28" spans="1:4">
      <c r="A28" t="s">
        <v>35</v>
      </c>
      <c r="B28" s="3" t="b">
        <v>0</v>
      </c>
      <c r="C28" s="3" t="b">
        <v>1</v>
      </c>
      <c r="D28" s="3" t="b">
        <v>0</v>
      </c>
    </row>
    <row r="29" spans="1:4">
      <c r="A29" t="s">
        <v>6</v>
      </c>
      <c r="B29" s="3" t="b">
        <v>0</v>
      </c>
      <c r="C29" s="3" t="b">
        <v>0</v>
      </c>
      <c r="D29" s="3" t="b">
        <v>1</v>
      </c>
    </row>
    <row r="30" spans="1:4">
      <c r="A30" t="s">
        <v>36</v>
      </c>
      <c r="B30" s="3" t="b">
        <v>0</v>
      </c>
      <c r="C30" s="3" t="b">
        <v>1</v>
      </c>
      <c r="D30" s="3" t="b">
        <v>0</v>
      </c>
    </row>
    <row r="31" spans="1:4">
      <c r="A31" t="s">
        <v>37</v>
      </c>
      <c r="B31" s="3" t="b">
        <v>0</v>
      </c>
      <c r="C31" s="3" t="b">
        <v>1</v>
      </c>
      <c r="D31" s="3" t="b">
        <v>0</v>
      </c>
    </row>
    <row r="34" spans="1:1">
      <c r="A34" t="s">
        <v>46</v>
      </c>
    </row>
    <row r="35" spans="1:1">
      <c r="A35" t="s">
        <v>399</v>
      </c>
    </row>
    <row r="37" spans="1:1">
      <c r="A37" t="s">
        <v>46</v>
      </c>
    </row>
    <row r="38" spans="1:1">
      <c r="A38" t="s">
        <v>400</v>
      </c>
    </row>
    <row r="40" spans="1:1">
      <c r="A40" t="s">
        <v>46</v>
      </c>
    </row>
    <row r="41" spans="1:1">
      <c r="A41" t="s">
        <v>401</v>
      </c>
    </row>
    <row r="42" spans="1:1">
      <c r="A42" t="s">
        <v>112</v>
      </c>
    </row>
    <row r="43" spans="1:1">
      <c r="A43" t="s">
        <v>71</v>
      </c>
    </row>
    <row r="44" spans="1:1">
      <c r="A44" t="s">
        <v>402</v>
      </c>
    </row>
    <row r="45" spans="1:1">
      <c r="A45" t="s">
        <v>403</v>
      </c>
    </row>
    <row r="46" spans="1:1">
      <c r="A46" t="s">
        <v>404</v>
      </c>
    </row>
    <row r="47" spans="1:1">
      <c r="A47" t="s">
        <v>405</v>
      </c>
    </row>
    <row r="48" spans="1:1">
      <c r="A48" t="s">
        <v>175</v>
      </c>
    </row>
    <row r="49" spans="1:1">
      <c r="A49" t="s">
        <v>406</v>
      </c>
    </row>
    <row r="50" spans="1:1">
      <c r="A50" t="s">
        <v>218</v>
      </c>
    </row>
    <row r="51" spans="1:1">
      <c r="A51" t="s">
        <v>220</v>
      </c>
    </row>
    <row r="52" spans="1:1">
      <c r="A52" t="s">
        <v>407</v>
      </c>
    </row>
    <row r="53" spans="1:1">
      <c r="A53" t="s">
        <v>179</v>
      </c>
    </row>
    <row r="54" spans="1:1">
      <c r="A54" t="s">
        <v>124</v>
      </c>
    </row>
    <row r="55" spans="1:1">
      <c r="A55" t="s">
        <v>125</v>
      </c>
    </row>
    <row r="56" spans="1:1">
      <c r="A56" t="s">
        <v>84</v>
      </c>
    </row>
    <row r="57" spans="1:1">
      <c r="A57" t="s">
        <v>408</v>
      </c>
    </row>
    <row r="58" spans="1:1">
      <c r="A58" t="s">
        <v>409</v>
      </c>
    </row>
    <row r="59" spans="1:1">
      <c r="A59" t="s">
        <v>410</v>
      </c>
    </row>
    <row r="60" spans="1:1">
      <c r="A60" t="s">
        <v>411</v>
      </c>
    </row>
    <row r="61" spans="1:1">
      <c r="A61" t="s">
        <v>182</v>
      </c>
    </row>
    <row r="62" spans="1:1">
      <c r="A62" t="s">
        <v>412</v>
      </c>
    </row>
    <row r="63" spans="1:1">
      <c r="A63" t="s">
        <v>135</v>
      </c>
    </row>
    <row r="64" spans="1:1">
      <c r="A64" t="s">
        <v>136</v>
      </c>
    </row>
    <row r="65" spans="1:1">
      <c r="A65" t="s">
        <v>403</v>
      </c>
    </row>
    <row r="66" spans="1:1">
      <c r="A66" t="s">
        <v>413</v>
      </c>
    </row>
    <row r="67" spans="1:1">
      <c r="A67" t="s">
        <v>414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0257A-36A2-4B86-9ED6-D9BFB88F4FF9}">
  <dimension ref="A1:F77"/>
  <sheetViews>
    <sheetView topLeftCell="A15" workbookViewId="0">
      <selection activeCell="F22" sqref="F22"/>
    </sheetView>
  </sheetViews>
  <sheetFormatPr defaultRowHeight="15"/>
  <cols>
    <col min="1" max="1" width="30" customWidth="1"/>
    <col min="2" max="3" width="18" customWidth="1"/>
    <col min="4" max="4" width="21.140625" customWidth="1"/>
    <col min="5" max="6" width="18" customWidth="1"/>
  </cols>
  <sheetData>
    <row r="1" spans="1:6">
      <c r="A1" s="1" t="s">
        <v>0</v>
      </c>
    </row>
    <row r="2" spans="1:6">
      <c r="A2" s="1"/>
    </row>
    <row r="3" spans="1:6">
      <c r="A3" t="s">
        <v>1</v>
      </c>
      <c r="B3" s="4" t="s">
        <v>2</v>
      </c>
      <c r="C3" s="7" t="s">
        <v>3</v>
      </c>
      <c r="D3" s="5" t="s">
        <v>4</v>
      </c>
      <c r="E3" s="6" t="s">
        <v>5</v>
      </c>
      <c r="F3" t="s">
        <v>6</v>
      </c>
    </row>
    <row r="4" spans="1:6" ht="60.75">
      <c r="B4" s="2" t="s">
        <v>7</v>
      </c>
      <c r="C4" s="2" t="s">
        <v>8</v>
      </c>
      <c r="D4" s="2" t="s">
        <v>9</v>
      </c>
      <c r="E4" s="2" t="s">
        <v>10</v>
      </c>
    </row>
    <row r="5" spans="1:6">
      <c r="B5" s="2"/>
      <c r="C5" s="2"/>
      <c r="D5" s="2"/>
      <c r="E5" s="2"/>
    </row>
    <row r="6" spans="1:6">
      <c r="A6" s="9" t="s">
        <v>11</v>
      </c>
    </row>
    <row r="7" spans="1:6">
      <c r="A7" s="9"/>
      <c r="B7">
        <f>COUNTIF(B9:D31,TRUE)</f>
        <v>15</v>
      </c>
    </row>
    <row r="8" spans="1:6">
      <c r="A8" t="s">
        <v>12</v>
      </c>
      <c r="B8" t="s">
        <v>13</v>
      </c>
      <c r="C8" t="s">
        <v>14</v>
      </c>
      <c r="D8" t="s">
        <v>15</v>
      </c>
    </row>
    <row r="9" spans="1:6">
      <c r="A9" t="s">
        <v>16</v>
      </c>
      <c r="B9" s="3" t="b">
        <v>0</v>
      </c>
      <c r="C9" s="3" t="b">
        <v>1</v>
      </c>
      <c r="D9" s="3" t="b">
        <v>0</v>
      </c>
    </row>
    <row r="10" spans="1:6">
      <c r="A10" t="s">
        <v>17</v>
      </c>
      <c r="B10" s="3" t="b">
        <v>1</v>
      </c>
      <c r="C10" s="3" t="b">
        <v>0</v>
      </c>
      <c r="D10" s="3" t="b">
        <v>0</v>
      </c>
    </row>
    <row r="11" spans="1:6">
      <c r="A11" t="s">
        <v>18</v>
      </c>
      <c r="B11" s="3" t="b">
        <v>1</v>
      </c>
      <c r="C11" s="3" t="b">
        <v>0</v>
      </c>
      <c r="D11" s="3" t="b">
        <v>0</v>
      </c>
    </row>
    <row r="12" spans="1:6">
      <c r="A12" t="s">
        <v>19</v>
      </c>
      <c r="B12" s="3" t="b">
        <v>1</v>
      </c>
      <c r="C12" s="3" t="b">
        <v>0</v>
      </c>
      <c r="D12" s="3" t="b">
        <v>0</v>
      </c>
    </row>
    <row r="13" spans="1:6">
      <c r="A13" t="s">
        <v>20</v>
      </c>
      <c r="B13" s="3" t="b">
        <v>0</v>
      </c>
      <c r="C13" s="3" t="b">
        <v>1</v>
      </c>
      <c r="D13" s="3" t="b">
        <v>0</v>
      </c>
    </row>
    <row r="14" spans="1:6">
      <c r="A14" t="s">
        <v>21</v>
      </c>
      <c r="B14" s="3" t="b">
        <v>0</v>
      </c>
      <c r="C14" s="3" t="b">
        <v>1</v>
      </c>
      <c r="D14" s="3" t="b">
        <v>0</v>
      </c>
      <c r="E14" t="s">
        <v>22</v>
      </c>
      <c r="F14">
        <f>SUM(B6:D31)</f>
        <v>15</v>
      </c>
    </row>
    <row r="15" spans="1:6">
      <c r="A15" t="s">
        <v>23</v>
      </c>
      <c r="B15" s="3" t="b">
        <v>0</v>
      </c>
      <c r="C15" s="3" t="b">
        <v>0</v>
      </c>
      <c r="D15" s="3" t="b">
        <v>1</v>
      </c>
      <c r="E15" t="s">
        <v>24</v>
      </c>
      <c r="F15" t="str">
        <f>IF(F14&gt;=22,"Avançado",IF(F14&gt;=16,"Adequado",IF(F14&gt;=10,"Básico","Iniciante")))</f>
        <v>Básico</v>
      </c>
    </row>
    <row r="16" spans="1:6">
      <c r="F16" t="s">
        <v>140</v>
      </c>
    </row>
    <row r="17" spans="1:4">
      <c r="A17" s="9" t="s">
        <v>25</v>
      </c>
    </row>
    <row r="18" spans="1:4">
      <c r="A18" s="2"/>
    </row>
    <row r="19" spans="1:4">
      <c r="A19" s="2" t="s">
        <v>1</v>
      </c>
      <c r="B19" t="s">
        <v>26</v>
      </c>
      <c r="C19" t="s">
        <v>14</v>
      </c>
      <c r="D19" t="s">
        <v>27</v>
      </c>
    </row>
    <row r="20" spans="1:4">
      <c r="A20" s="8" t="s">
        <v>28</v>
      </c>
      <c r="B20" s="3" t="b">
        <v>1</v>
      </c>
      <c r="C20" s="3" t="b">
        <v>0</v>
      </c>
      <c r="D20" s="3" t="b">
        <v>0</v>
      </c>
    </row>
    <row r="21" spans="1:4">
      <c r="A21" s="8" t="s">
        <v>29</v>
      </c>
      <c r="B21" s="3" t="b">
        <v>1</v>
      </c>
      <c r="C21" s="3" t="b">
        <v>0</v>
      </c>
      <c r="D21" s="3" t="b">
        <v>0</v>
      </c>
    </row>
    <row r="22" spans="1:4">
      <c r="A22" s="2" t="s">
        <v>30</v>
      </c>
      <c r="B22" s="3" t="b">
        <v>1</v>
      </c>
      <c r="C22" s="3" t="b">
        <v>0</v>
      </c>
      <c r="D22" s="3" t="b">
        <v>0</v>
      </c>
    </row>
    <row r="23" spans="1:4">
      <c r="A23" s="2" t="s">
        <v>31</v>
      </c>
      <c r="B23" s="3" t="b">
        <v>0</v>
      </c>
      <c r="C23" s="3" t="b">
        <v>1</v>
      </c>
      <c r="D23" s="3" t="b">
        <v>0</v>
      </c>
    </row>
    <row r="24" spans="1:4">
      <c r="A24" s="2"/>
    </row>
    <row r="25" spans="1:4">
      <c r="A25" s="10" t="s">
        <v>32</v>
      </c>
    </row>
    <row r="27" spans="1:4" ht="30.75">
      <c r="A27" t="s">
        <v>1</v>
      </c>
      <c r="B27" t="s">
        <v>26</v>
      </c>
      <c r="C27" s="16" t="s">
        <v>33</v>
      </c>
      <c r="D27" s="15" t="s">
        <v>34</v>
      </c>
    </row>
    <row r="28" spans="1:4">
      <c r="A28" t="s">
        <v>35</v>
      </c>
      <c r="B28" s="3" t="b">
        <v>0</v>
      </c>
      <c r="C28" s="3" t="b">
        <v>1</v>
      </c>
      <c r="D28" s="3" t="b">
        <v>0</v>
      </c>
    </row>
    <row r="29" spans="1:4">
      <c r="A29" t="s">
        <v>6</v>
      </c>
      <c r="B29" s="3" t="b">
        <v>0</v>
      </c>
      <c r="C29" s="3" t="b">
        <v>1</v>
      </c>
      <c r="D29" s="3" t="b">
        <v>0</v>
      </c>
    </row>
    <row r="30" spans="1:4">
      <c r="A30" t="s">
        <v>36</v>
      </c>
      <c r="B30" s="3" t="b">
        <v>0</v>
      </c>
      <c r="C30" s="3" t="b">
        <v>1</v>
      </c>
      <c r="D30" s="3" t="b">
        <v>0</v>
      </c>
    </row>
    <row r="31" spans="1:4">
      <c r="A31" t="s">
        <v>37</v>
      </c>
      <c r="B31" s="3" t="b">
        <v>0</v>
      </c>
      <c r="C31" s="3" t="b">
        <v>1</v>
      </c>
      <c r="D31" s="3" t="b">
        <v>0</v>
      </c>
    </row>
    <row r="34" spans="1:1">
      <c r="A34" t="s">
        <v>46</v>
      </c>
    </row>
    <row r="35" spans="1:1">
      <c r="A35" t="s">
        <v>415</v>
      </c>
    </row>
    <row r="37" spans="1:1">
      <c r="A37" t="s">
        <v>46</v>
      </c>
    </row>
    <row r="38" spans="1:1">
      <c r="A38" t="s">
        <v>416</v>
      </c>
    </row>
    <row r="39" spans="1:1">
      <c r="A39" t="s">
        <v>417</v>
      </c>
    </row>
    <row r="41" spans="1:1">
      <c r="A41" t="s">
        <v>46</v>
      </c>
    </row>
    <row r="42" spans="1:1">
      <c r="A42" t="s">
        <v>418</v>
      </c>
    </row>
    <row r="43" spans="1:1">
      <c r="A43" t="s">
        <v>112</v>
      </c>
    </row>
    <row r="44" spans="1:1">
      <c r="A44" t="s">
        <v>71</v>
      </c>
    </row>
    <row r="45" spans="1:1">
      <c r="A45" t="s">
        <v>145</v>
      </c>
    </row>
    <row r="46" spans="1:1">
      <c r="A46" t="s">
        <v>419</v>
      </c>
    </row>
    <row r="47" spans="1:1">
      <c r="A47" t="s">
        <v>420</v>
      </c>
    </row>
    <row r="48" spans="1:1">
      <c r="A48" t="s">
        <v>421</v>
      </c>
    </row>
    <row r="49" spans="1:1">
      <c r="A49" t="s">
        <v>149</v>
      </c>
    </row>
    <row r="50" spans="1:1">
      <c r="A50" t="s">
        <v>117</v>
      </c>
    </row>
    <row r="51" spans="1:1">
      <c r="A51" t="s">
        <v>422</v>
      </c>
    </row>
    <row r="52" spans="1:1">
      <c r="A52" t="s">
        <v>423</v>
      </c>
    </row>
    <row r="53" spans="1:1">
      <c r="A53" t="s">
        <v>424</v>
      </c>
    </row>
    <row r="54" spans="1:1">
      <c r="A54" t="s">
        <v>352</v>
      </c>
    </row>
    <row r="55" spans="1:1">
      <c r="A55" t="s">
        <v>123</v>
      </c>
    </row>
    <row r="56" spans="1:1">
      <c r="A56" t="s">
        <v>124</v>
      </c>
    </row>
    <row r="57" spans="1:1">
      <c r="A57" t="s">
        <v>154</v>
      </c>
    </row>
    <row r="58" spans="1:1">
      <c r="A58" t="s">
        <v>84</v>
      </c>
    </row>
    <row r="59" spans="1:1">
      <c r="A59" t="s">
        <v>155</v>
      </c>
    </row>
    <row r="60" spans="1:1">
      <c r="A60" t="s">
        <v>156</v>
      </c>
    </row>
    <row r="61" spans="1:1">
      <c r="A61" t="s">
        <v>425</v>
      </c>
    </row>
    <row r="62" spans="1:1">
      <c r="A62" t="s">
        <v>426</v>
      </c>
    </row>
    <row r="63" spans="1:1">
      <c r="A63" t="s">
        <v>427</v>
      </c>
    </row>
    <row r="64" spans="1:1">
      <c r="A64" t="s">
        <v>127</v>
      </c>
    </row>
    <row r="65" spans="1:1">
      <c r="A65" t="s">
        <v>428</v>
      </c>
    </row>
    <row r="66" spans="1:1">
      <c r="A66" t="s">
        <v>129</v>
      </c>
    </row>
    <row r="67" spans="1:1">
      <c r="A67" t="s">
        <v>130</v>
      </c>
    </row>
    <row r="68" spans="1:1">
      <c r="A68" t="s">
        <v>393</v>
      </c>
    </row>
    <row r="69" spans="1:1">
      <c r="A69" t="s">
        <v>429</v>
      </c>
    </row>
    <row r="70" spans="1:1">
      <c r="A70" t="s">
        <v>395</v>
      </c>
    </row>
    <row r="71" spans="1:1">
      <c r="A71" t="s">
        <v>430</v>
      </c>
    </row>
    <row r="72" spans="1:1">
      <c r="A72" t="s">
        <v>135</v>
      </c>
    </row>
    <row r="73" spans="1:1">
      <c r="A73" t="s">
        <v>136</v>
      </c>
    </row>
    <row r="74" spans="1:1">
      <c r="A74" t="s">
        <v>431</v>
      </c>
    </row>
    <row r="75" spans="1:1">
      <c r="A75" t="s">
        <v>397</v>
      </c>
    </row>
    <row r="76" spans="1:1">
      <c r="A76" t="s">
        <v>432</v>
      </c>
    </row>
    <row r="77" spans="1:1">
      <c r="A77" t="s">
        <v>167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B421D-3222-4742-AE30-FC60FD43CE0D}">
  <dimension ref="A1:F73"/>
  <sheetViews>
    <sheetView topLeftCell="A4" workbookViewId="0">
      <selection activeCell="A40" sqref="A40:A73"/>
    </sheetView>
  </sheetViews>
  <sheetFormatPr defaultRowHeight="15"/>
  <cols>
    <col min="1" max="1" width="30" customWidth="1"/>
    <col min="2" max="3" width="18" customWidth="1"/>
    <col min="4" max="4" width="21.140625" customWidth="1"/>
    <col min="5" max="6" width="18" customWidth="1"/>
  </cols>
  <sheetData>
    <row r="1" spans="1:6">
      <c r="A1" s="1" t="s">
        <v>0</v>
      </c>
    </row>
    <row r="2" spans="1:6">
      <c r="A2" s="1"/>
    </row>
    <row r="3" spans="1:6">
      <c r="A3" t="s">
        <v>1</v>
      </c>
      <c r="B3" s="4" t="s">
        <v>2</v>
      </c>
      <c r="C3" s="7" t="s">
        <v>3</v>
      </c>
      <c r="D3" s="5" t="s">
        <v>4</v>
      </c>
      <c r="E3" s="6" t="s">
        <v>5</v>
      </c>
      <c r="F3" t="s">
        <v>6</v>
      </c>
    </row>
    <row r="4" spans="1:6" ht="60.75">
      <c r="B4" s="2" t="s">
        <v>7</v>
      </c>
      <c r="C4" s="2" t="s">
        <v>8</v>
      </c>
      <c r="D4" s="2" t="s">
        <v>9</v>
      </c>
      <c r="E4" s="2" t="s">
        <v>10</v>
      </c>
    </row>
    <row r="5" spans="1:6">
      <c r="B5" s="2"/>
      <c r="C5" s="2"/>
      <c r="D5" s="2"/>
      <c r="E5" s="2"/>
    </row>
    <row r="6" spans="1:6">
      <c r="A6" s="9" t="s">
        <v>11</v>
      </c>
    </row>
    <row r="7" spans="1:6">
      <c r="A7" s="9"/>
      <c r="B7">
        <f>COUNTIF(B9:D31,TRUE)</f>
        <v>15</v>
      </c>
    </row>
    <row r="8" spans="1:6">
      <c r="A8" t="s">
        <v>12</v>
      </c>
      <c r="B8" t="s">
        <v>13</v>
      </c>
      <c r="C8" t="s">
        <v>14</v>
      </c>
      <c r="D8" t="s">
        <v>15</v>
      </c>
    </row>
    <row r="9" spans="1:6">
      <c r="A9" t="s">
        <v>16</v>
      </c>
      <c r="B9" s="3" t="b">
        <v>1</v>
      </c>
      <c r="C9" s="3" t="b">
        <v>0</v>
      </c>
      <c r="D9" s="3" t="b">
        <v>0</v>
      </c>
    </row>
    <row r="10" spans="1:6">
      <c r="A10" t="s">
        <v>17</v>
      </c>
      <c r="B10" s="3" t="b">
        <v>0</v>
      </c>
      <c r="C10" s="3" t="b">
        <v>1</v>
      </c>
      <c r="D10" s="3" t="b">
        <v>0</v>
      </c>
    </row>
    <row r="11" spans="1:6">
      <c r="A11" t="s">
        <v>18</v>
      </c>
      <c r="B11" s="3" t="b">
        <v>1</v>
      </c>
      <c r="C11" s="3" t="b">
        <v>0</v>
      </c>
      <c r="D11" s="3" t="b">
        <v>0</v>
      </c>
    </row>
    <row r="12" spans="1:6">
      <c r="A12" t="s">
        <v>19</v>
      </c>
      <c r="B12" s="3" t="b">
        <v>0</v>
      </c>
      <c r="C12" s="3" t="b">
        <v>1</v>
      </c>
      <c r="D12" s="3" t="b">
        <v>0</v>
      </c>
    </row>
    <row r="13" spans="1:6">
      <c r="A13" t="s">
        <v>20</v>
      </c>
      <c r="B13" s="3" t="b">
        <v>0</v>
      </c>
      <c r="C13" s="3" t="b">
        <v>1</v>
      </c>
      <c r="D13" s="3" t="b">
        <v>0</v>
      </c>
    </row>
    <row r="14" spans="1:6">
      <c r="A14" t="s">
        <v>21</v>
      </c>
      <c r="B14" s="3" t="b">
        <v>0</v>
      </c>
      <c r="C14" s="3" t="b">
        <v>0</v>
      </c>
      <c r="D14" s="3" t="b">
        <v>1</v>
      </c>
      <c r="E14" t="s">
        <v>22</v>
      </c>
      <c r="F14">
        <f>SUM(B6:D31)</f>
        <v>15</v>
      </c>
    </row>
    <row r="15" spans="1:6">
      <c r="A15" t="s">
        <v>23</v>
      </c>
      <c r="B15" s="3" t="b">
        <v>0</v>
      </c>
      <c r="C15" s="3" t="b">
        <v>0</v>
      </c>
      <c r="D15" s="3" t="b">
        <v>1</v>
      </c>
      <c r="E15" t="s">
        <v>24</v>
      </c>
      <c r="F15" t="str">
        <f>IF(F14&gt;=22,"Avançado",IF(F14&gt;=16,"Adequado",IF(F14&gt;=10,"Básico","Iniciante")))</f>
        <v>Básico</v>
      </c>
    </row>
    <row r="17" spans="1:4">
      <c r="A17" s="9" t="s">
        <v>25</v>
      </c>
    </row>
    <row r="18" spans="1:4">
      <c r="A18" s="2"/>
    </row>
    <row r="19" spans="1:4">
      <c r="A19" s="2" t="s">
        <v>1</v>
      </c>
      <c r="B19" t="s">
        <v>26</v>
      </c>
      <c r="C19" t="s">
        <v>14</v>
      </c>
      <c r="D19" t="s">
        <v>27</v>
      </c>
    </row>
    <row r="20" spans="1:4">
      <c r="A20" s="8" t="s">
        <v>28</v>
      </c>
      <c r="B20" s="3" t="b">
        <v>1</v>
      </c>
      <c r="C20" s="3" t="b">
        <v>0</v>
      </c>
      <c r="D20" s="3" t="b">
        <v>0</v>
      </c>
    </row>
    <row r="21" spans="1:4">
      <c r="A21" s="8" t="s">
        <v>29</v>
      </c>
      <c r="B21" s="3" t="b">
        <v>0</v>
      </c>
      <c r="C21" s="3" t="b">
        <v>1</v>
      </c>
      <c r="D21" s="3" t="b">
        <v>0</v>
      </c>
    </row>
    <row r="22" spans="1:4">
      <c r="A22" s="2" t="s">
        <v>30</v>
      </c>
      <c r="B22" s="3" t="b">
        <v>0</v>
      </c>
      <c r="C22" s="3" t="b">
        <v>1</v>
      </c>
      <c r="D22" s="3" t="b">
        <v>0</v>
      </c>
    </row>
    <row r="23" spans="1:4">
      <c r="A23" s="2" t="s">
        <v>31</v>
      </c>
      <c r="B23" s="3" t="b">
        <v>0</v>
      </c>
      <c r="C23" s="3" t="b">
        <v>0</v>
      </c>
      <c r="D23" s="3" t="b">
        <v>1</v>
      </c>
    </row>
    <row r="24" spans="1:4">
      <c r="A24" s="2"/>
    </row>
    <row r="25" spans="1:4">
      <c r="A25" s="10" t="s">
        <v>32</v>
      </c>
    </row>
    <row r="27" spans="1:4" ht="30.75">
      <c r="A27" t="s">
        <v>1</v>
      </c>
      <c r="B27" t="s">
        <v>26</v>
      </c>
      <c r="C27" s="16" t="s">
        <v>33</v>
      </c>
      <c r="D27" s="15" t="s">
        <v>34</v>
      </c>
    </row>
    <row r="28" spans="1:4">
      <c r="A28" t="s">
        <v>35</v>
      </c>
      <c r="B28" s="3" t="b">
        <v>0</v>
      </c>
      <c r="C28" s="3" t="b">
        <v>1</v>
      </c>
      <c r="D28" s="3" t="b">
        <v>0</v>
      </c>
    </row>
    <row r="29" spans="1:4">
      <c r="A29" t="s">
        <v>6</v>
      </c>
      <c r="B29" s="3" t="b">
        <v>0</v>
      </c>
      <c r="C29" s="3" t="b">
        <v>0</v>
      </c>
      <c r="D29" s="3" t="b">
        <v>1</v>
      </c>
    </row>
    <row r="30" spans="1:4">
      <c r="A30" t="s">
        <v>36</v>
      </c>
      <c r="B30" s="3" t="b">
        <v>0</v>
      </c>
      <c r="C30" s="3" t="b">
        <v>1</v>
      </c>
      <c r="D30" s="3" t="b">
        <v>0</v>
      </c>
    </row>
    <row r="31" spans="1:4">
      <c r="A31" t="s">
        <v>37</v>
      </c>
      <c r="B31" s="3" t="b">
        <v>0</v>
      </c>
      <c r="C31" s="3" t="b">
        <v>1</v>
      </c>
      <c r="D31" s="3" t="b">
        <v>0</v>
      </c>
    </row>
    <row r="33" spans="1:1">
      <c r="A33" t="s">
        <v>46</v>
      </c>
    </row>
    <row r="34" spans="1:1">
      <c r="A34" t="s">
        <v>433</v>
      </c>
    </row>
    <row r="36" spans="1:1">
      <c r="A36" t="s">
        <v>46</v>
      </c>
    </row>
    <row r="37" spans="1:1">
      <c r="A37" t="s">
        <v>434</v>
      </c>
    </row>
    <row r="38" spans="1:1">
      <c r="A38" t="s">
        <v>435</v>
      </c>
    </row>
    <row r="40" spans="1:1">
      <c r="A40" t="s">
        <v>46</v>
      </c>
    </row>
    <row r="41" spans="1:1">
      <c r="A41" t="s">
        <v>436</v>
      </c>
    </row>
    <row r="42" spans="1:1">
      <c r="A42" t="s">
        <v>112</v>
      </c>
    </row>
    <row r="43" spans="1:1">
      <c r="A43" t="s">
        <v>71</v>
      </c>
    </row>
    <row r="44" spans="1:1">
      <c r="A44" t="s">
        <v>145</v>
      </c>
    </row>
    <row r="45" spans="1:1">
      <c r="A45" t="s">
        <v>437</v>
      </c>
    </row>
    <row r="46" spans="1:1">
      <c r="A46" t="s">
        <v>380</v>
      </c>
    </row>
    <row r="47" spans="1:1">
      <c r="A47" t="s">
        <v>438</v>
      </c>
    </row>
    <row r="48" spans="1:1">
      <c r="A48" t="s">
        <v>439</v>
      </c>
    </row>
    <row r="49" spans="1:1">
      <c r="A49" t="s">
        <v>117</v>
      </c>
    </row>
    <row r="50" spans="1:1">
      <c r="A50" t="s">
        <v>121</v>
      </c>
    </row>
    <row r="51" spans="1:1">
      <c r="A51" t="s">
        <v>150</v>
      </c>
    </row>
    <row r="52" spans="1:1">
      <c r="A52" t="s">
        <v>261</v>
      </c>
    </row>
    <row r="53" spans="1:1">
      <c r="A53" t="s">
        <v>440</v>
      </c>
    </row>
    <row r="54" spans="1:1">
      <c r="A54" t="s">
        <v>123</v>
      </c>
    </row>
    <row r="55" spans="1:1">
      <c r="A55" t="s">
        <v>124</v>
      </c>
    </row>
    <row r="56" spans="1:1">
      <c r="A56" t="s">
        <v>200</v>
      </c>
    </row>
    <row r="57" spans="1:1">
      <c r="A57" t="s">
        <v>84</v>
      </c>
    </row>
    <row r="58" spans="1:1">
      <c r="A58" t="s">
        <v>155</v>
      </c>
    </row>
    <row r="59" spans="1:1">
      <c r="A59" t="s">
        <v>441</v>
      </c>
    </row>
    <row r="60" spans="1:1">
      <c r="A60" t="s">
        <v>442</v>
      </c>
    </row>
    <row r="61" spans="1:1">
      <c r="A61" t="s">
        <v>127</v>
      </c>
    </row>
    <row r="62" spans="1:1">
      <c r="A62" t="s">
        <v>443</v>
      </c>
    </row>
    <row r="63" spans="1:1">
      <c r="A63" t="s">
        <v>129</v>
      </c>
    </row>
    <row r="64" spans="1:1">
      <c r="A64" t="s">
        <v>130</v>
      </c>
    </row>
    <row r="65" spans="1:1">
      <c r="A65" t="s">
        <v>444</v>
      </c>
    </row>
    <row r="66" spans="1:1">
      <c r="A66" t="s">
        <v>445</v>
      </c>
    </row>
    <row r="67" spans="1:1">
      <c r="A67" t="s">
        <v>446</v>
      </c>
    </row>
    <row r="68" spans="1:1">
      <c r="A68" t="s">
        <v>244</v>
      </c>
    </row>
    <row r="69" spans="1:1">
      <c r="A69" t="s">
        <v>135</v>
      </c>
    </row>
    <row r="70" spans="1:1">
      <c r="A70" t="s">
        <v>136</v>
      </c>
    </row>
    <row r="71" spans="1:1">
      <c r="A71" t="s">
        <v>447</v>
      </c>
    </row>
    <row r="72" spans="1:1">
      <c r="A72" t="s">
        <v>448</v>
      </c>
    </row>
    <row r="73" spans="1:1">
      <c r="A73" t="s">
        <v>449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80117-8798-455F-8024-E0870F5DC545}">
  <dimension ref="A1:F80"/>
  <sheetViews>
    <sheetView topLeftCell="A5" workbookViewId="0">
      <selection activeCell="F15" sqref="F15"/>
    </sheetView>
  </sheetViews>
  <sheetFormatPr defaultRowHeight="15"/>
  <cols>
    <col min="1" max="1" width="30" customWidth="1"/>
    <col min="2" max="3" width="18" customWidth="1"/>
    <col min="4" max="4" width="21.140625" customWidth="1"/>
    <col min="5" max="6" width="18" customWidth="1"/>
  </cols>
  <sheetData>
    <row r="1" spans="1:6">
      <c r="A1" s="1" t="s">
        <v>0</v>
      </c>
    </row>
    <row r="2" spans="1:6">
      <c r="A2" s="1"/>
    </row>
    <row r="3" spans="1:6">
      <c r="A3" t="s">
        <v>1</v>
      </c>
      <c r="B3" s="4" t="s">
        <v>2</v>
      </c>
      <c r="C3" s="7" t="s">
        <v>3</v>
      </c>
      <c r="D3" s="5" t="s">
        <v>4</v>
      </c>
      <c r="E3" s="6" t="s">
        <v>5</v>
      </c>
      <c r="F3" t="s">
        <v>6</v>
      </c>
    </row>
    <row r="4" spans="1:6" ht="60.75">
      <c r="B4" s="2" t="s">
        <v>7</v>
      </c>
      <c r="C4" s="2" t="s">
        <v>8</v>
      </c>
      <c r="D4" s="2" t="s">
        <v>9</v>
      </c>
      <c r="E4" s="2" t="s">
        <v>10</v>
      </c>
    </row>
    <row r="5" spans="1:6">
      <c r="B5" s="2"/>
      <c r="C5" s="2"/>
      <c r="D5" s="2"/>
      <c r="E5" s="2"/>
    </row>
    <row r="6" spans="1:6">
      <c r="A6" s="9" t="s">
        <v>11</v>
      </c>
    </row>
    <row r="7" spans="1:6">
      <c r="A7" s="9"/>
      <c r="B7">
        <f>COUNTIF(B9:D31,TRUE)</f>
        <v>16</v>
      </c>
    </row>
    <row r="8" spans="1:6">
      <c r="A8" t="s">
        <v>12</v>
      </c>
      <c r="B8" t="s">
        <v>13</v>
      </c>
      <c r="C8" t="s">
        <v>14</v>
      </c>
      <c r="D8" t="s">
        <v>15</v>
      </c>
    </row>
    <row r="9" spans="1:6">
      <c r="A9" t="s">
        <v>16</v>
      </c>
      <c r="B9" s="3" t="b">
        <v>0</v>
      </c>
      <c r="C9" s="3" t="b">
        <v>0</v>
      </c>
      <c r="D9" s="3" t="b">
        <v>1</v>
      </c>
    </row>
    <row r="10" spans="1:6">
      <c r="A10" t="s">
        <v>17</v>
      </c>
      <c r="B10" s="3" t="b">
        <v>1</v>
      </c>
      <c r="C10" s="3" t="b">
        <v>0</v>
      </c>
      <c r="D10" s="3" t="b">
        <v>0</v>
      </c>
    </row>
    <row r="11" spans="1:6">
      <c r="A11" t="s">
        <v>18</v>
      </c>
      <c r="B11" s="3" t="b">
        <v>1</v>
      </c>
      <c r="C11" s="3" t="b">
        <v>0</v>
      </c>
      <c r="D11" s="3" t="b">
        <v>0</v>
      </c>
    </row>
    <row r="12" spans="1:6">
      <c r="A12" t="s">
        <v>19</v>
      </c>
      <c r="B12" s="3" t="b">
        <v>1</v>
      </c>
      <c r="C12" s="3" t="b">
        <v>0</v>
      </c>
      <c r="D12" s="3" t="b">
        <v>0</v>
      </c>
    </row>
    <row r="13" spans="1:6">
      <c r="A13" t="s">
        <v>20</v>
      </c>
      <c r="B13" s="3" t="b">
        <v>1</v>
      </c>
      <c r="C13" s="3" t="b">
        <v>0</v>
      </c>
      <c r="D13" s="3" t="b">
        <v>0</v>
      </c>
    </row>
    <row r="14" spans="1:6">
      <c r="A14" t="s">
        <v>21</v>
      </c>
      <c r="B14" s="3" t="b">
        <v>0</v>
      </c>
      <c r="C14" s="3" t="b">
        <v>1</v>
      </c>
      <c r="D14" s="3" t="b">
        <v>0</v>
      </c>
      <c r="E14" t="s">
        <v>22</v>
      </c>
      <c r="F14">
        <f>SUM(B6:D31)</f>
        <v>16</v>
      </c>
    </row>
    <row r="15" spans="1:6">
      <c r="A15" t="s">
        <v>23</v>
      </c>
      <c r="B15" s="3" t="b">
        <v>1</v>
      </c>
      <c r="C15" s="3" t="b">
        <v>0</v>
      </c>
      <c r="D15" s="3" t="b">
        <v>0</v>
      </c>
      <c r="E15" t="s">
        <v>24</v>
      </c>
      <c r="F15" s="5" t="str">
        <f>IF(F14&gt;=22,"Avançado",IF(F14&gt;=16,"Adequado",IF(F14&gt;=10,"Básico","Iniciante")))</f>
        <v>Adequado</v>
      </c>
    </row>
    <row r="17" spans="1:4">
      <c r="A17" s="9" t="s">
        <v>25</v>
      </c>
    </row>
    <row r="18" spans="1:4">
      <c r="A18" s="2"/>
    </row>
    <row r="19" spans="1:4">
      <c r="A19" s="2" t="s">
        <v>1</v>
      </c>
      <c r="B19" t="s">
        <v>26</v>
      </c>
      <c r="C19" t="s">
        <v>14</v>
      </c>
      <c r="D19" t="s">
        <v>27</v>
      </c>
    </row>
    <row r="20" spans="1:4">
      <c r="A20" s="8" t="s">
        <v>28</v>
      </c>
      <c r="B20" s="3" t="b">
        <v>1</v>
      </c>
      <c r="C20" s="3" t="b">
        <v>0</v>
      </c>
      <c r="D20" s="3" t="b">
        <v>0</v>
      </c>
    </row>
    <row r="21" spans="1:4">
      <c r="A21" s="8" t="s">
        <v>29</v>
      </c>
      <c r="B21" s="3" t="b">
        <v>1</v>
      </c>
      <c r="C21" s="3" t="b">
        <v>0</v>
      </c>
      <c r="D21" s="3" t="b">
        <v>0</v>
      </c>
    </row>
    <row r="22" spans="1:4">
      <c r="A22" s="2" t="s">
        <v>30</v>
      </c>
      <c r="B22" s="3" t="b">
        <v>0</v>
      </c>
      <c r="C22" s="3" t="b">
        <v>1</v>
      </c>
      <c r="D22" s="3" t="b">
        <v>0</v>
      </c>
    </row>
    <row r="23" spans="1:4">
      <c r="A23" s="2" t="s">
        <v>31</v>
      </c>
      <c r="B23" s="3" t="b">
        <v>0</v>
      </c>
      <c r="C23" s="3" t="b">
        <v>1</v>
      </c>
      <c r="D23" s="3" t="b">
        <v>0</v>
      </c>
    </row>
    <row r="24" spans="1:4">
      <c r="A24" s="2"/>
    </row>
    <row r="25" spans="1:4">
      <c r="A25" s="10" t="s">
        <v>32</v>
      </c>
    </row>
    <row r="27" spans="1:4" ht="30.75">
      <c r="A27" t="s">
        <v>1</v>
      </c>
      <c r="B27" t="s">
        <v>26</v>
      </c>
      <c r="C27" s="16" t="s">
        <v>33</v>
      </c>
      <c r="D27" s="15" t="s">
        <v>34</v>
      </c>
    </row>
    <row r="28" spans="1:4">
      <c r="A28" t="s">
        <v>35</v>
      </c>
      <c r="B28" s="3" t="b">
        <v>0</v>
      </c>
      <c r="C28" s="3" t="b">
        <v>1</v>
      </c>
      <c r="D28" s="3" t="b">
        <v>1</v>
      </c>
    </row>
    <row r="29" spans="1:4">
      <c r="A29" t="s">
        <v>6</v>
      </c>
      <c r="B29" s="3" t="b">
        <v>0</v>
      </c>
      <c r="C29" s="3" t="b">
        <v>1</v>
      </c>
      <c r="D29" s="3" t="b">
        <v>0</v>
      </c>
    </row>
    <row r="30" spans="1:4">
      <c r="A30" t="s">
        <v>36</v>
      </c>
      <c r="B30" s="3" t="b">
        <v>0</v>
      </c>
      <c r="C30" s="3" t="b">
        <v>1</v>
      </c>
      <c r="D30" s="3" t="b">
        <v>0</v>
      </c>
    </row>
    <row r="31" spans="1:4">
      <c r="A31" t="s">
        <v>37</v>
      </c>
      <c r="B31" s="3" t="b">
        <v>0</v>
      </c>
      <c r="C31" s="3" t="b">
        <v>1</v>
      </c>
      <c r="D31" s="3" t="b">
        <v>0</v>
      </c>
    </row>
    <row r="34" spans="1:1">
      <c r="A34" t="s">
        <v>46</v>
      </c>
    </row>
    <row r="35" spans="1:1">
      <c r="A35" t="s">
        <v>450</v>
      </c>
    </row>
    <row r="37" spans="1:1">
      <c r="A37" t="s">
        <v>46</v>
      </c>
    </row>
    <row r="38" spans="1:1">
      <c r="A38" t="s">
        <v>451</v>
      </c>
    </row>
    <row r="39" spans="1:1">
      <c r="A39" t="s">
        <v>452</v>
      </c>
    </row>
    <row r="40" spans="1:1">
      <c r="A40" t="s">
        <v>453</v>
      </c>
    </row>
    <row r="42" spans="1:1">
      <c r="A42" t="s">
        <v>46</v>
      </c>
    </row>
    <row r="43" spans="1:1">
      <c r="A43" t="s">
        <v>454</v>
      </c>
    </row>
    <row r="44" spans="1:1">
      <c r="A44" t="s">
        <v>112</v>
      </c>
    </row>
    <row r="45" spans="1:1">
      <c r="A45" t="s">
        <v>377</v>
      </c>
    </row>
    <row r="46" spans="1:1">
      <c r="A46" t="s">
        <v>145</v>
      </c>
    </row>
    <row r="47" spans="1:1">
      <c r="A47" t="s">
        <v>455</v>
      </c>
    </row>
    <row r="48" spans="1:1">
      <c r="A48" t="s">
        <v>456</v>
      </c>
    </row>
    <row r="49" spans="1:1">
      <c r="A49" t="s">
        <v>457</v>
      </c>
    </row>
    <row r="50" spans="1:1">
      <c r="A50" t="s">
        <v>458</v>
      </c>
    </row>
    <row r="51" spans="1:1">
      <c r="A51" t="s">
        <v>459</v>
      </c>
    </row>
    <row r="52" spans="1:1">
      <c r="A52" t="s">
        <v>117</v>
      </c>
    </row>
    <row r="53" spans="1:1">
      <c r="A53" t="s">
        <v>383</v>
      </c>
    </row>
    <row r="54" spans="1:1">
      <c r="A54" t="s">
        <v>460</v>
      </c>
    </row>
    <row r="55" spans="1:1">
      <c r="A55" t="s">
        <v>461</v>
      </c>
    </row>
    <row r="56" spans="1:1">
      <c r="A56" t="s">
        <v>462</v>
      </c>
    </row>
    <row r="57" spans="1:1">
      <c r="A57" t="s">
        <v>123</v>
      </c>
    </row>
    <row r="58" spans="1:1">
      <c r="A58" t="s">
        <v>124</v>
      </c>
    </row>
    <row r="59" spans="1:1">
      <c r="A59" t="s">
        <v>154</v>
      </c>
    </row>
    <row r="60" spans="1:1">
      <c r="A60" t="s">
        <v>84</v>
      </c>
    </row>
    <row r="61" spans="1:1">
      <c r="A61" t="s">
        <v>387</v>
      </c>
    </row>
    <row r="62" spans="1:1">
      <c r="A62" t="s">
        <v>463</v>
      </c>
    </row>
    <row r="63" spans="1:1">
      <c r="A63" t="s">
        <v>464</v>
      </c>
    </row>
    <row r="64" spans="1:1">
      <c r="A64" t="s">
        <v>465</v>
      </c>
    </row>
    <row r="65" spans="1:1">
      <c r="A65" t="s">
        <v>466</v>
      </c>
    </row>
    <row r="66" spans="1:1">
      <c r="A66" t="s">
        <v>127</v>
      </c>
    </row>
    <row r="67" spans="1:1">
      <c r="A67" t="s">
        <v>467</v>
      </c>
    </row>
    <row r="68" spans="1:1">
      <c r="A68" t="s">
        <v>129</v>
      </c>
    </row>
    <row r="69" spans="1:1">
      <c r="A69" t="s">
        <v>468</v>
      </c>
    </row>
    <row r="70" spans="1:1">
      <c r="A70" t="s">
        <v>393</v>
      </c>
    </row>
    <row r="71" spans="1:1">
      <c r="A71" t="s">
        <v>394</v>
      </c>
    </row>
    <row r="72" spans="1:1">
      <c r="A72" t="s">
        <v>469</v>
      </c>
    </row>
    <row r="73" spans="1:1">
      <c r="A73" t="s">
        <v>470</v>
      </c>
    </row>
    <row r="74" spans="1:1">
      <c r="A74" t="s">
        <v>163</v>
      </c>
    </row>
    <row r="75" spans="1:1">
      <c r="A75" t="s">
        <v>135</v>
      </c>
    </row>
    <row r="76" spans="1:1">
      <c r="A76" t="s">
        <v>136</v>
      </c>
    </row>
    <row r="77" spans="1:1">
      <c r="A77" t="s">
        <v>164</v>
      </c>
    </row>
    <row r="78" spans="1:1">
      <c r="A78" t="s">
        <v>471</v>
      </c>
    </row>
    <row r="79" spans="1:1">
      <c r="A79" t="s">
        <v>472</v>
      </c>
    </row>
    <row r="80" spans="1:1">
      <c r="A80" t="s">
        <v>167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6B30-7017-45CD-AA90-D3DEAD99B04F}">
  <dimension ref="A1:F41"/>
  <sheetViews>
    <sheetView workbookViewId="0">
      <selection activeCell="C27" sqref="C27:D27"/>
    </sheetView>
  </sheetViews>
  <sheetFormatPr defaultRowHeight="15"/>
  <cols>
    <col min="1" max="1" width="30" customWidth="1"/>
    <col min="2" max="3" width="18" customWidth="1"/>
    <col min="4" max="4" width="21.140625" customWidth="1"/>
    <col min="5" max="6" width="18" customWidth="1"/>
  </cols>
  <sheetData>
    <row r="1" spans="1:6">
      <c r="A1" s="1" t="s">
        <v>0</v>
      </c>
    </row>
    <row r="2" spans="1:6">
      <c r="A2" s="1"/>
    </row>
    <row r="3" spans="1:6">
      <c r="A3" t="s">
        <v>1</v>
      </c>
      <c r="B3" s="4" t="s">
        <v>2</v>
      </c>
      <c r="C3" s="7" t="s">
        <v>3</v>
      </c>
      <c r="D3" s="5" t="s">
        <v>4</v>
      </c>
      <c r="E3" s="6" t="s">
        <v>5</v>
      </c>
      <c r="F3" t="s">
        <v>6</v>
      </c>
    </row>
    <row r="4" spans="1:6" ht="60.75">
      <c r="B4" s="2" t="s">
        <v>7</v>
      </c>
      <c r="C4" s="2" t="s">
        <v>8</v>
      </c>
      <c r="D4" s="2" t="s">
        <v>9</v>
      </c>
      <c r="E4" s="2" t="s">
        <v>10</v>
      </c>
    </row>
    <row r="5" spans="1:6">
      <c r="B5" s="2"/>
      <c r="C5" s="2"/>
      <c r="D5" s="2"/>
      <c r="E5" s="2"/>
    </row>
    <row r="6" spans="1:6">
      <c r="A6" s="9" t="s">
        <v>11</v>
      </c>
    </row>
    <row r="7" spans="1:6">
      <c r="A7" s="9"/>
      <c r="B7">
        <f>COUNTIF(B9:D31,TRUE)</f>
        <v>0</v>
      </c>
    </row>
    <row r="8" spans="1:6">
      <c r="A8" t="s">
        <v>12</v>
      </c>
      <c r="B8" t="s">
        <v>13</v>
      </c>
      <c r="C8" t="s">
        <v>14</v>
      </c>
      <c r="D8" t="s">
        <v>15</v>
      </c>
    </row>
    <row r="9" spans="1:6">
      <c r="A9" t="s">
        <v>16</v>
      </c>
      <c r="B9" s="3" t="b">
        <v>0</v>
      </c>
      <c r="C9" s="3" t="b">
        <v>0</v>
      </c>
      <c r="D9" s="3" t="b">
        <v>0</v>
      </c>
    </row>
    <row r="10" spans="1:6">
      <c r="A10" t="s">
        <v>17</v>
      </c>
      <c r="B10" s="3" t="b">
        <v>0</v>
      </c>
      <c r="C10" s="3" t="b">
        <v>0</v>
      </c>
      <c r="D10" s="3" t="b">
        <v>0</v>
      </c>
    </row>
    <row r="11" spans="1:6">
      <c r="A11" t="s">
        <v>18</v>
      </c>
      <c r="B11" s="3" t="b">
        <v>0</v>
      </c>
      <c r="C11" s="3" t="b">
        <v>0</v>
      </c>
      <c r="D11" s="3" t="b">
        <v>0</v>
      </c>
    </row>
    <row r="12" spans="1:6">
      <c r="A12" t="s">
        <v>19</v>
      </c>
      <c r="B12" s="3" t="b">
        <v>0</v>
      </c>
      <c r="C12" s="3" t="b">
        <v>0</v>
      </c>
      <c r="D12" s="3" t="b">
        <v>0</v>
      </c>
    </row>
    <row r="13" spans="1:6">
      <c r="A13" t="s">
        <v>20</v>
      </c>
      <c r="B13" s="3" t="b">
        <v>0</v>
      </c>
      <c r="C13" s="3" t="b">
        <v>0</v>
      </c>
      <c r="D13" s="3" t="b">
        <v>0</v>
      </c>
    </row>
    <row r="14" spans="1:6">
      <c r="A14" t="s">
        <v>21</v>
      </c>
      <c r="B14" s="3" t="b">
        <v>0</v>
      </c>
      <c r="C14" s="3" t="b">
        <v>0</v>
      </c>
      <c r="D14" s="3" t="b">
        <v>0</v>
      </c>
      <c r="E14" t="s">
        <v>22</v>
      </c>
      <c r="F14">
        <f>SUM(B6:D31)</f>
        <v>0</v>
      </c>
    </row>
    <row r="15" spans="1:6">
      <c r="A15" t="s">
        <v>23</v>
      </c>
      <c r="B15" s="3" t="b">
        <v>0</v>
      </c>
      <c r="C15" s="3" t="b">
        <v>0</v>
      </c>
      <c r="D15" s="3" t="b">
        <v>0</v>
      </c>
      <c r="E15" t="s">
        <v>24</v>
      </c>
      <c r="F15" t="str">
        <f>IF(F14&gt;=22,"Avançado",IF(F14&gt;=16,"Adequado",IF(F14&gt;=10,"Básico","Iniciante")))</f>
        <v>Iniciante</v>
      </c>
    </row>
    <row r="17" spans="1:4">
      <c r="A17" s="9" t="s">
        <v>25</v>
      </c>
    </row>
    <row r="18" spans="1:4">
      <c r="A18" s="2"/>
    </row>
    <row r="19" spans="1:4">
      <c r="A19" s="2" t="s">
        <v>1</v>
      </c>
      <c r="B19" t="s">
        <v>26</v>
      </c>
      <c r="C19" t="s">
        <v>14</v>
      </c>
      <c r="D19" t="s">
        <v>27</v>
      </c>
    </row>
    <row r="20" spans="1:4">
      <c r="A20" s="8" t="s">
        <v>28</v>
      </c>
      <c r="B20" s="3" t="b">
        <v>0</v>
      </c>
      <c r="C20" s="3" t="b">
        <v>0</v>
      </c>
      <c r="D20" s="3" t="b">
        <v>0</v>
      </c>
    </row>
    <row r="21" spans="1:4">
      <c r="A21" s="8" t="s">
        <v>29</v>
      </c>
      <c r="B21" s="3" t="b">
        <v>0</v>
      </c>
      <c r="C21" s="3" t="b">
        <v>0</v>
      </c>
      <c r="D21" s="3" t="b">
        <v>0</v>
      </c>
    </row>
    <row r="22" spans="1:4">
      <c r="A22" s="2" t="s">
        <v>30</v>
      </c>
      <c r="B22" s="3" t="b">
        <v>0</v>
      </c>
      <c r="C22" s="3" t="b">
        <v>0</v>
      </c>
      <c r="D22" s="3" t="b">
        <v>0</v>
      </c>
    </row>
    <row r="23" spans="1:4">
      <c r="A23" s="2" t="s">
        <v>31</v>
      </c>
      <c r="B23" s="3" t="b">
        <v>0</v>
      </c>
      <c r="C23" s="3" t="b">
        <v>0</v>
      </c>
      <c r="D23" s="3" t="b">
        <v>0</v>
      </c>
    </row>
    <row r="24" spans="1:4">
      <c r="A24" s="2"/>
    </row>
    <row r="25" spans="1:4">
      <c r="A25" s="10" t="s">
        <v>32</v>
      </c>
    </row>
    <row r="27" spans="1:4" ht="30.75">
      <c r="A27" t="s">
        <v>1</v>
      </c>
      <c r="B27" t="s">
        <v>26</v>
      </c>
      <c r="C27" s="16" t="s">
        <v>33</v>
      </c>
      <c r="D27" s="15" t="s">
        <v>34</v>
      </c>
    </row>
    <row r="28" spans="1:4">
      <c r="A28" t="s">
        <v>35</v>
      </c>
      <c r="B28" s="3" t="b">
        <v>0</v>
      </c>
      <c r="C28" s="3" t="b">
        <v>0</v>
      </c>
      <c r="D28" s="3" t="b">
        <v>0</v>
      </c>
    </row>
    <row r="29" spans="1:4">
      <c r="A29" t="s">
        <v>6</v>
      </c>
      <c r="B29" s="3" t="b">
        <v>0</v>
      </c>
      <c r="C29" s="3" t="b">
        <v>0</v>
      </c>
      <c r="D29" s="3" t="b">
        <v>0</v>
      </c>
    </row>
    <row r="30" spans="1:4">
      <c r="A30" t="s">
        <v>36</v>
      </c>
      <c r="B30" s="3" t="b">
        <v>0</v>
      </c>
      <c r="C30" s="3" t="b">
        <v>0</v>
      </c>
      <c r="D30" s="3" t="b">
        <v>0</v>
      </c>
    </row>
    <row r="31" spans="1:4">
      <c r="A31" t="s">
        <v>37</v>
      </c>
      <c r="B31" s="3" t="b">
        <v>0</v>
      </c>
      <c r="C31" s="3" t="b">
        <v>0</v>
      </c>
      <c r="D31" s="3" t="b">
        <v>0</v>
      </c>
    </row>
    <row r="40" spans="1:5">
      <c r="A40" t="s">
        <v>24</v>
      </c>
      <c r="B40" s="4" t="str">
        <f>IF(B39&gt;=22,"Avançado",IF(B39&gt;=16,"Adequado",IF(B39&gt;=10,"Básico","Iniciante")))</f>
        <v>Iniciante</v>
      </c>
      <c r="C40" s="7" t="str">
        <f>IF(C39&gt;=22,"Avançado",IF(C39&gt;=16,"Adequado",IF(C39&gt;=10,"Básico","Básico")))</f>
        <v>Básico</v>
      </c>
      <c r="D40" s="5" t="str">
        <f>IF(D39&gt;=22,"Avançado",IF(D39&gt;=16,"Adequado",IF(D39&gt;=10,"Básico","Adequado")))</f>
        <v>Adequado</v>
      </c>
      <c r="E40" s="6" t="str">
        <f>IF(E39&gt;=22,"Avançado",IF(E39&gt;=16,"Adequado",IF(E39&gt;=10,"Básico","Avançado")))</f>
        <v>Avançado</v>
      </c>
    </row>
    <row r="41" spans="1:5" ht="60.75">
      <c r="B41" s="2" t="s">
        <v>7</v>
      </c>
      <c r="C41" s="2" t="s">
        <v>8</v>
      </c>
      <c r="D41" s="2" t="s">
        <v>9</v>
      </c>
      <c r="E41" s="2" t="s">
        <v>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414E6-2116-42F9-9428-9E8802A53C7E}">
  <dimension ref="A1:F68"/>
  <sheetViews>
    <sheetView topLeftCell="A5" workbookViewId="0">
      <selection activeCell="A39" sqref="A39:A68"/>
    </sheetView>
  </sheetViews>
  <sheetFormatPr defaultRowHeight="15"/>
  <cols>
    <col min="1" max="1" width="30" customWidth="1"/>
    <col min="2" max="3" width="18" customWidth="1"/>
    <col min="4" max="4" width="21.140625" customWidth="1"/>
    <col min="5" max="6" width="18" customWidth="1"/>
  </cols>
  <sheetData>
    <row r="1" spans="1:6">
      <c r="A1" s="1" t="s">
        <v>0</v>
      </c>
    </row>
    <row r="2" spans="1:6">
      <c r="A2" s="1"/>
    </row>
    <row r="3" spans="1:6">
      <c r="A3" t="s">
        <v>1</v>
      </c>
      <c r="B3" s="4" t="s">
        <v>2</v>
      </c>
      <c r="C3" s="7" t="s">
        <v>3</v>
      </c>
      <c r="D3" s="5" t="s">
        <v>4</v>
      </c>
      <c r="E3" s="6" t="s">
        <v>5</v>
      </c>
      <c r="F3" t="s">
        <v>6</v>
      </c>
    </row>
    <row r="4" spans="1:6" ht="60.75">
      <c r="B4" s="2" t="s">
        <v>7</v>
      </c>
      <c r="C4" s="2" t="s">
        <v>8</v>
      </c>
      <c r="D4" s="2" t="s">
        <v>9</v>
      </c>
      <c r="E4" s="2" t="s">
        <v>10</v>
      </c>
    </row>
    <row r="5" spans="1:6">
      <c r="B5" s="2"/>
      <c r="C5" s="2"/>
      <c r="D5" s="2"/>
      <c r="E5" s="2"/>
    </row>
    <row r="6" spans="1:6">
      <c r="A6" s="9" t="s">
        <v>11</v>
      </c>
    </row>
    <row r="7" spans="1:6">
      <c r="A7" s="9"/>
      <c r="B7">
        <f>COUNTIF(B9:D31,TRUE)</f>
        <v>14</v>
      </c>
    </row>
    <row r="8" spans="1:6">
      <c r="A8" t="s">
        <v>12</v>
      </c>
      <c r="B8" t="s">
        <v>13</v>
      </c>
      <c r="C8" t="s">
        <v>14</v>
      </c>
      <c r="D8" t="s">
        <v>15</v>
      </c>
    </row>
    <row r="9" spans="1:6">
      <c r="A9" t="s">
        <v>16</v>
      </c>
      <c r="B9" s="3" t="b">
        <v>0</v>
      </c>
      <c r="C9" s="3" t="b">
        <v>1</v>
      </c>
      <c r="D9" s="3" t="b">
        <v>0</v>
      </c>
    </row>
    <row r="10" spans="1:6">
      <c r="A10" t="s">
        <v>17</v>
      </c>
      <c r="B10" s="3" t="b">
        <v>0</v>
      </c>
      <c r="C10" s="3" t="b">
        <v>1</v>
      </c>
      <c r="D10" s="3" t="b">
        <v>0</v>
      </c>
    </row>
    <row r="11" spans="1:6">
      <c r="A11" t="s">
        <v>18</v>
      </c>
      <c r="B11" s="3" t="b">
        <v>1</v>
      </c>
      <c r="C11" s="3" t="b">
        <v>0</v>
      </c>
      <c r="D11" s="3" t="b">
        <v>0</v>
      </c>
    </row>
    <row r="12" spans="1:6">
      <c r="A12" t="s">
        <v>19</v>
      </c>
      <c r="B12" s="3" t="b">
        <v>0</v>
      </c>
      <c r="C12" s="3" t="b">
        <v>1</v>
      </c>
      <c r="D12" s="3" t="b">
        <v>0</v>
      </c>
    </row>
    <row r="13" spans="1:6">
      <c r="A13" t="s">
        <v>20</v>
      </c>
      <c r="B13" s="3" t="b">
        <v>0</v>
      </c>
      <c r="C13" s="3" t="b">
        <v>1</v>
      </c>
      <c r="D13" s="3" t="b">
        <v>0</v>
      </c>
    </row>
    <row r="14" spans="1:6">
      <c r="A14" t="s">
        <v>21</v>
      </c>
      <c r="B14" s="3" t="b">
        <v>0</v>
      </c>
      <c r="C14" s="3" t="b">
        <v>1</v>
      </c>
      <c r="D14" s="3" t="b">
        <v>0</v>
      </c>
      <c r="E14" t="s">
        <v>22</v>
      </c>
      <c r="F14">
        <f>SUM(B6:D31)</f>
        <v>14</v>
      </c>
    </row>
    <row r="15" spans="1:6">
      <c r="A15" t="s">
        <v>23</v>
      </c>
      <c r="B15" s="3" t="b">
        <v>0</v>
      </c>
      <c r="C15" s="3" t="b">
        <v>1</v>
      </c>
      <c r="D15" s="3" t="b">
        <v>0</v>
      </c>
      <c r="E15" t="s">
        <v>24</v>
      </c>
      <c r="F15" t="str">
        <f>IF(F14&gt;=22,"Avançado",IF(F14&gt;=16,"Adequado",IF(F14&gt;=10,"Básico","Iniciante")))</f>
        <v>Básico</v>
      </c>
    </row>
    <row r="17" spans="1:4">
      <c r="A17" s="9" t="s">
        <v>25</v>
      </c>
    </row>
    <row r="18" spans="1:4">
      <c r="A18" s="2"/>
    </row>
    <row r="19" spans="1:4">
      <c r="A19" s="2" t="s">
        <v>1</v>
      </c>
      <c r="B19" t="s">
        <v>26</v>
      </c>
      <c r="C19" t="s">
        <v>14</v>
      </c>
      <c r="D19" t="s">
        <v>27</v>
      </c>
    </row>
    <row r="20" spans="1:4">
      <c r="A20" s="8" t="s">
        <v>28</v>
      </c>
      <c r="B20" s="3" t="b">
        <v>1</v>
      </c>
      <c r="C20" s="3" t="b">
        <v>0</v>
      </c>
      <c r="D20" s="3" t="b">
        <v>0</v>
      </c>
    </row>
    <row r="21" spans="1:4">
      <c r="A21" s="8" t="s">
        <v>29</v>
      </c>
      <c r="B21" s="3" t="b">
        <v>0</v>
      </c>
      <c r="C21" s="3" t="b">
        <v>1</v>
      </c>
      <c r="D21" s="3" t="b">
        <v>0</v>
      </c>
    </row>
    <row r="22" spans="1:4">
      <c r="A22" s="2" t="s">
        <v>30</v>
      </c>
      <c r="B22" s="3" t="b">
        <v>0</v>
      </c>
      <c r="C22" s="3" t="b">
        <v>1</v>
      </c>
      <c r="D22" s="3" t="b">
        <v>0</v>
      </c>
    </row>
    <row r="23" spans="1:4">
      <c r="A23" s="2" t="s">
        <v>31</v>
      </c>
      <c r="B23" s="3" t="b">
        <v>0</v>
      </c>
      <c r="C23" s="3" t="b">
        <v>0</v>
      </c>
      <c r="D23" s="3" t="b">
        <v>1</v>
      </c>
    </row>
    <row r="24" spans="1:4">
      <c r="A24" s="2"/>
    </row>
    <row r="25" spans="1:4">
      <c r="A25" s="10" t="s">
        <v>32</v>
      </c>
    </row>
    <row r="27" spans="1:4" ht="30.75">
      <c r="A27" t="s">
        <v>1</v>
      </c>
      <c r="B27" t="s">
        <v>26</v>
      </c>
      <c r="C27" s="16" t="s">
        <v>33</v>
      </c>
      <c r="D27" s="15" t="s">
        <v>34</v>
      </c>
    </row>
    <row r="28" spans="1:4">
      <c r="A28" t="s">
        <v>35</v>
      </c>
      <c r="B28" s="3" t="b">
        <v>0</v>
      </c>
      <c r="C28" s="3" t="b">
        <v>1</v>
      </c>
      <c r="D28" s="3" t="b">
        <v>0</v>
      </c>
    </row>
    <row r="29" spans="1:4">
      <c r="A29" t="s">
        <v>6</v>
      </c>
      <c r="B29" s="3" t="b">
        <v>0</v>
      </c>
      <c r="C29" s="3" t="b">
        <v>1</v>
      </c>
      <c r="D29" s="3" t="b">
        <v>0</v>
      </c>
    </row>
    <row r="30" spans="1:4">
      <c r="A30" t="s">
        <v>36</v>
      </c>
      <c r="B30" s="3" t="b">
        <v>0</v>
      </c>
      <c r="C30" s="3" t="b">
        <v>1</v>
      </c>
      <c r="D30" s="3" t="b">
        <v>0</v>
      </c>
    </row>
    <row r="31" spans="1:4">
      <c r="A31" t="s">
        <v>37</v>
      </c>
      <c r="B31" s="3" t="b">
        <v>0</v>
      </c>
      <c r="C31" s="3" t="b">
        <v>0</v>
      </c>
      <c r="D31" s="3" t="b">
        <v>0</v>
      </c>
    </row>
    <row r="33" spans="1:1">
      <c r="A33" t="s">
        <v>46</v>
      </c>
    </row>
    <row r="34" spans="1:1">
      <c r="A34" t="s">
        <v>473</v>
      </c>
    </row>
    <row r="36" spans="1:1">
      <c r="A36" t="s">
        <v>46</v>
      </c>
    </row>
    <row r="37" spans="1:1">
      <c r="A37" t="s">
        <v>474</v>
      </c>
    </row>
    <row r="39" spans="1:1">
      <c r="A39" t="s">
        <v>46</v>
      </c>
    </row>
    <row r="40" spans="1:1">
      <c r="A40" t="s">
        <v>475</v>
      </c>
    </row>
    <row r="41" spans="1:1">
      <c r="A41" t="s">
        <v>112</v>
      </c>
    </row>
    <row r="42" spans="1:1">
      <c r="A42" t="s">
        <v>71</v>
      </c>
    </row>
    <row r="43" spans="1:1">
      <c r="A43" t="s">
        <v>171</v>
      </c>
    </row>
    <row r="44" spans="1:1">
      <c r="A44" t="s">
        <v>476</v>
      </c>
    </row>
    <row r="45" spans="1:1">
      <c r="A45" t="s">
        <v>477</v>
      </c>
    </row>
    <row r="46" spans="1:1">
      <c r="A46" t="s">
        <v>478</v>
      </c>
    </row>
    <row r="47" spans="1:1">
      <c r="A47" t="s">
        <v>479</v>
      </c>
    </row>
    <row r="48" spans="1:1">
      <c r="A48" t="s">
        <v>175</v>
      </c>
    </row>
    <row r="49" spans="1:1">
      <c r="A49" t="s">
        <v>480</v>
      </c>
    </row>
    <row r="50" spans="1:1">
      <c r="A50" t="s">
        <v>481</v>
      </c>
    </row>
    <row r="51" spans="1:1">
      <c r="A51" t="s">
        <v>482</v>
      </c>
    </row>
    <row r="52" spans="1:1">
      <c r="A52" t="s">
        <v>483</v>
      </c>
    </row>
    <row r="53" spans="1:1">
      <c r="A53" t="s">
        <v>179</v>
      </c>
    </row>
    <row r="54" spans="1:1">
      <c r="A54" t="s">
        <v>124</v>
      </c>
    </row>
    <row r="55" spans="1:1">
      <c r="A55" t="s">
        <v>200</v>
      </c>
    </row>
    <row r="56" spans="1:1">
      <c r="A56" t="s">
        <v>84</v>
      </c>
    </row>
    <row r="57" spans="1:1">
      <c r="A57" t="s">
        <v>484</v>
      </c>
    </row>
    <row r="58" spans="1:1">
      <c r="A58" t="s">
        <v>98</v>
      </c>
    </row>
    <row r="59" spans="1:1">
      <c r="A59" t="s">
        <v>225</v>
      </c>
    </row>
    <row r="60" spans="1:1">
      <c r="A60" t="s">
        <v>226</v>
      </c>
    </row>
    <row r="61" spans="1:1">
      <c r="A61" t="s">
        <v>182</v>
      </c>
    </row>
    <row r="62" spans="1:1">
      <c r="A62" t="s">
        <v>485</v>
      </c>
    </row>
    <row r="63" spans="1:1">
      <c r="A63" t="s">
        <v>135</v>
      </c>
    </row>
    <row r="64" spans="1:1">
      <c r="A64" t="s">
        <v>136</v>
      </c>
    </row>
    <row r="65" spans="1:1">
      <c r="A65" t="s">
        <v>294</v>
      </c>
    </row>
    <row r="66" spans="1:1">
      <c r="A66" t="s">
        <v>486</v>
      </c>
    </row>
    <row r="67" spans="1:1">
      <c r="A67" t="s">
        <v>487</v>
      </c>
    </row>
    <row r="68" spans="1:1">
      <c r="A68" t="s">
        <v>231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45213-C2E3-4CCE-B66F-F156632128FB}">
  <dimension ref="A1:F82"/>
  <sheetViews>
    <sheetView topLeftCell="A9" workbookViewId="0">
      <selection activeCell="F22" sqref="F22"/>
    </sheetView>
  </sheetViews>
  <sheetFormatPr defaultRowHeight="15"/>
  <cols>
    <col min="1" max="1" width="30" customWidth="1"/>
    <col min="2" max="3" width="18" customWidth="1"/>
    <col min="4" max="4" width="21.140625" customWidth="1"/>
    <col min="5" max="6" width="18" customWidth="1"/>
  </cols>
  <sheetData>
    <row r="1" spans="1:6">
      <c r="A1" s="1" t="s">
        <v>0</v>
      </c>
    </row>
    <row r="2" spans="1:6">
      <c r="A2" s="1"/>
    </row>
    <row r="3" spans="1:6">
      <c r="A3" t="s">
        <v>1</v>
      </c>
      <c r="B3" s="4" t="s">
        <v>2</v>
      </c>
      <c r="C3" s="7" t="s">
        <v>3</v>
      </c>
      <c r="D3" s="5" t="s">
        <v>4</v>
      </c>
      <c r="E3" s="6" t="s">
        <v>5</v>
      </c>
      <c r="F3" t="s">
        <v>6</v>
      </c>
    </row>
    <row r="4" spans="1:6" ht="60.75">
      <c r="B4" s="2" t="s">
        <v>7</v>
      </c>
      <c r="C4" s="2" t="s">
        <v>8</v>
      </c>
      <c r="D4" s="2" t="s">
        <v>9</v>
      </c>
      <c r="E4" s="2" t="s">
        <v>10</v>
      </c>
    </row>
    <row r="5" spans="1:6">
      <c r="B5" s="2"/>
      <c r="C5" s="2"/>
      <c r="D5" s="2"/>
      <c r="E5" s="2"/>
    </row>
    <row r="6" spans="1:6">
      <c r="A6" s="9" t="s">
        <v>11</v>
      </c>
    </row>
    <row r="7" spans="1:6">
      <c r="A7" s="9"/>
      <c r="B7">
        <f>COUNTIF(B9:D31,TRUE)</f>
        <v>15</v>
      </c>
    </row>
    <row r="8" spans="1:6">
      <c r="A8" t="s">
        <v>12</v>
      </c>
      <c r="B8" t="s">
        <v>13</v>
      </c>
      <c r="C8" t="s">
        <v>14</v>
      </c>
      <c r="D8" t="s">
        <v>15</v>
      </c>
    </row>
    <row r="9" spans="1:6">
      <c r="A9" t="s">
        <v>16</v>
      </c>
      <c r="B9" s="3" t="b">
        <v>1</v>
      </c>
      <c r="C9" s="3" t="b">
        <v>0</v>
      </c>
      <c r="D9" s="3" t="b">
        <v>0</v>
      </c>
    </row>
    <row r="10" spans="1:6">
      <c r="A10" t="s">
        <v>17</v>
      </c>
      <c r="B10" s="3" t="b">
        <v>1</v>
      </c>
      <c r="C10" s="3" t="b">
        <v>0</v>
      </c>
      <c r="D10" s="3" t="b">
        <v>0</v>
      </c>
    </row>
    <row r="11" spans="1:6">
      <c r="A11" t="s">
        <v>18</v>
      </c>
      <c r="B11" s="3" t="b">
        <v>1</v>
      </c>
      <c r="C11" s="3" t="b">
        <v>0</v>
      </c>
      <c r="D11" s="3" t="b">
        <v>0</v>
      </c>
    </row>
    <row r="12" spans="1:6">
      <c r="A12" t="s">
        <v>19</v>
      </c>
      <c r="B12" s="3" t="b">
        <v>1</v>
      </c>
      <c r="C12" s="3" t="b">
        <v>0</v>
      </c>
      <c r="D12" s="3" t="b">
        <v>0</v>
      </c>
    </row>
    <row r="13" spans="1:6">
      <c r="A13" t="s">
        <v>20</v>
      </c>
      <c r="B13" s="3" t="b">
        <v>1</v>
      </c>
      <c r="C13" s="3" t="b">
        <v>0</v>
      </c>
      <c r="D13" s="3" t="b">
        <v>0</v>
      </c>
    </row>
    <row r="14" spans="1:6">
      <c r="A14" t="s">
        <v>21</v>
      </c>
      <c r="B14" s="3" t="b">
        <v>0</v>
      </c>
      <c r="C14" s="3" t="b">
        <v>1</v>
      </c>
      <c r="D14" s="3" t="b">
        <v>0</v>
      </c>
      <c r="E14" t="s">
        <v>22</v>
      </c>
      <c r="F14">
        <f>SUM(B6:D31)</f>
        <v>15</v>
      </c>
    </row>
    <row r="15" spans="1:6">
      <c r="A15" t="s">
        <v>23</v>
      </c>
      <c r="B15" s="3" t="b">
        <v>1</v>
      </c>
      <c r="C15" s="3" t="b">
        <v>0</v>
      </c>
      <c r="D15" s="3" t="b">
        <v>0</v>
      </c>
      <c r="E15" t="s">
        <v>24</v>
      </c>
      <c r="F15" t="str">
        <f>IF(F14&gt;=22,"Avançado",IF(F14&gt;=16,"Adequado",IF(F14&gt;=10,"Básico","Iniciante")))</f>
        <v>Básico</v>
      </c>
    </row>
    <row r="16" spans="1:6">
      <c r="F16" t="s">
        <v>342</v>
      </c>
    </row>
    <row r="17" spans="1:4">
      <c r="A17" s="9" t="s">
        <v>25</v>
      </c>
    </row>
    <row r="18" spans="1:4">
      <c r="A18" s="2"/>
    </row>
    <row r="19" spans="1:4">
      <c r="A19" s="2" t="s">
        <v>1</v>
      </c>
      <c r="B19" t="s">
        <v>26</v>
      </c>
      <c r="C19" t="s">
        <v>14</v>
      </c>
      <c r="D19" t="s">
        <v>27</v>
      </c>
    </row>
    <row r="20" spans="1:4">
      <c r="A20" s="8" t="s">
        <v>28</v>
      </c>
      <c r="B20" s="3" t="b">
        <v>1</v>
      </c>
      <c r="C20" s="3" t="b">
        <v>0</v>
      </c>
      <c r="D20" s="3" t="b">
        <v>0</v>
      </c>
    </row>
    <row r="21" spans="1:4">
      <c r="A21" s="8" t="s">
        <v>29</v>
      </c>
      <c r="B21" s="3" t="b">
        <v>1</v>
      </c>
      <c r="C21" s="3" t="b">
        <v>0</v>
      </c>
      <c r="D21" s="3" t="b">
        <v>0</v>
      </c>
    </row>
    <row r="22" spans="1:4">
      <c r="A22" s="2" t="s">
        <v>30</v>
      </c>
      <c r="B22" s="3" t="b">
        <v>1</v>
      </c>
      <c r="C22" s="3" t="b">
        <v>0</v>
      </c>
      <c r="D22" s="3" t="b">
        <v>0</v>
      </c>
    </row>
    <row r="23" spans="1:4">
      <c r="A23" s="2" t="s">
        <v>31</v>
      </c>
      <c r="B23" s="3" t="b">
        <v>0</v>
      </c>
      <c r="C23" s="3" t="b">
        <v>1</v>
      </c>
      <c r="D23" s="3" t="b">
        <v>0</v>
      </c>
    </row>
    <row r="24" spans="1:4">
      <c r="A24" s="2"/>
    </row>
    <row r="25" spans="1:4">
      <c r="A25" s="10" t="s">
        <v>32</v>
      </c>
    </row>
    <row r="27" spans="1:4" ht="30.75">
      <c r="A27" t="s">
        <v>1</v>
      </c>
      <c r="B27" t="s">
        <v>26</v>
      </c>
      <c r="C27" s="16" t="s">
        <v>33</v>
      </c>
      <c r="D27" s="15" t="s">
        <v>34</v>
      </c>
    </row>
    <row r="28" spans="1:4">
      <c r="A28" t="s">
        <v>35</v>
      </c>
      <c r="B28" s="3" t="b">
        <v>0</v>
      </c>
      <c r="C28" s="3" t="b">
        <v>1</v>
      </c>
      <c r="D28" s="3" t="b">
        <v>0</v>
      </c>
    </row>
    <row r="29" spans="1:4">
      <c r="A29" t="s">
        <v>6</v>
      </c>
      <c r="B29" s="3" t="b">
        <v>0</v>
      </c>
      <c r="C29" s="3" t="b">
        <v>1</v>
      </c>
      <c r="D29" s="3" t="b">
        <v>0</v>
      </c>
    </row>
    <row r="30" spans="1:4">
      <c r="A30" t="s">
        <v>36</v>
      </c>
      <c r="B30" s="3" t="b">
        <v>0</v>
      </c>
      <c r="C30" s="3" t="b">
        <v>1</v>
      </c>
      <c r="D30" s="3" t="b">
        <v>0</v>
      </c>
    </row>
    <row r="31" spans="1:4">
      <c r="A31" t="s">
        <v>37</v>
      </c>
      <c r="B31" s="3" t="b">
        <v>1</v>
      </c>
      <c r="C31" s="3" t="b">
        <v>0</v>
      </c>
      <c r="D31" s="3" t="b">
        <v>0</v>
      </c>
    </row>
    <row r="34" spans="1:1">
      <c r="A34" t="s">
        <v>46</v>
      </c>
    </row>
    <row r="35" spans="1:1">
      <c r="A35" t="s">
        <v>488</v>
      </c>
    </row>
    <row r="36" spans="1:1">
      <c r="A36" t="s">
        <v>489</v>
      </c>
    </row>
    <row r="37" spans="1:1">
      <c r="A37" t="s">
        <v>490</v>
      </c>
    </row>
    <row r="38" spans="1:1">
      <c r="A38" t="s">
        <v>491</v>
      </c>
    </row>
    <row r="39" spans="1:1">
      <c r="A39" t="s">
        <v>492</v>
      </c>
    </row>
    <row r="40" spans="1:1">
      <c r="A40" t="s">
        <v>493</v>
      </c>
    </row>
    <row r="42" spans="1:1">
      <c r="A42" t="s">
        <v>46</v>
      </c>
    </row>
    <row r="43" spans="1:1">
      <c r="A43" t="s">
        <v>494</v>
      </c>
    </row>
    <row r="44" spans="1:1">
      <c r="A44" t="s">
        <v>495</v>
      </c>
    </row>
    <row r="46" spans="1:1">
      <c r="A46" t="s">
        <v>46</v>
      </c>
    </row>
    <row r="47" spans="1:1">
      <c r="A47" t="s">
        <v>496</v>
      </c>
    </row>
    <row r="48" spans="1:1">
      <c r="A48" t="s">
        <v>112</v>
      </c>
    </row>
    <row r="49" spans="1:1">
      <c r="A49" t="s">
        <v>71</v>
      </c>
    </row>
    <row r="50" spans="1:1">
      <c r="A50" t="s">
        <v>497</v>
      </c>
    </row>
    <row r="51" spans="1:1">
      <c r="A51" t="s">
        <v>498</v>
      </c>
    </row>
    <row r="52" spans="1:1">
      <c r="A52" t="s">
        <v>499</v>
      </c>
    </row>
    <row r="53" spans="1:1">
      <c r="A53" t="s">
        <v>500</v>
      </c>
    </row>
    <row r="54" spans="1:1">
      <c r="A54" t="s">
        <v>501</v>
      </c>
    </row>
    <row r="55" spans="1:1">
      <c r="A55" t="s">
        <v>149</v>
      </c>
    </row>
    <row r="56" spans="1:1">
      <c r="A56" t="s">
        <v>117</v>
      </c>
    </row>
    <row r="57" spans="1:1">
      <c r="A57" t="s">
        <v>502</v>
      </c>
    </row>
    <row r="58" spans="1:1">
      <c r="A58" t="s">
        <v>424</v>
      </c>
    </row>
    <row r="59" spans="1:1">
      <c r="A59" t="s">
        <v>352</v>
      </c>
    </row>
    <row r="60" spans="1:1">
      <c r="A60" t="s">
        <v>123</v>
      </c>
    </row>
    <row r="61" spans="1:1">
      <c r="A61" t="s">
        <v>124</v>
      </c>
    </row>
    <row r="62" spans="1:1">
      <c r="A62" t="s">
        <v>355</v>
      </c>
    </row>
    <row r="63" spans="1:1">
      <c r="A63" t="s">
        <v>84</v>
      </c>
    </row>
    <row r="64" spans="1:1">
      <c r="A64" t="s">
        <v>155</v>
      </c>
    </row>
    <row r="65" spans="1:1">
      <c r="A65" t="s">
        <v>356</v>
      </c>
    </row>
    <row r="66" spans="1:1">
      <c r="A66" t="s">
        <v>357</v>
      </c>
    </row>
    <row r="67" spans="1:1">
      <c r="A67" t="s">
        <v>503</v>
      </c>
    </row>
    <row r="68" spans="1:1">
      <c r="A68" t="s">
        <v>358</v>
      </c>
    </row>
    <row r="69" spans="1:1">
      <c r="A69" t="s">
        <v>504</v>
      </c>
    </row>
    <row r="70" spans="1:1">
      <c r="A70" t="s">
        <v>127</v>
      </c>
    </row>
    <row r="71" spans="1:1">
      <c r="A71" t="s">
        <v>505</v>
      </c>
    </row>
    <row r="72" spans="1:1">
      <c r="A72" t="s">
        <v>129</v>
      </c>
    </row>
    <row r="73" spans="1:1">
      <c r="A73" t="s">
        <v>130</v>
      </c>
    </row>
    <row r="74" spans="1:1">
      <c r="A74" t="s">
        <v>506</v>
      </c>
    </row>
    <row r="75" spans="1:1">
      <c r="A75" t="s">
        <v>507</v>
      </c>
    </row>
    <row r="76" spans="1:1">
      <c r="A76" t="s">
        <v>508</v>
      </c>
    </row>
    <row r="77" spans="1:1">
      <c r="A77" t="s">
        <v>135</v>
      </c>
    </row>
    <row r="78" spans="1:1">
      <c r="A78" t="s">
        <v>136</v>
      </c>
    </row>
    <row r="79" spans="1:1">
      <c r="A79" t="s">
        <v>184</v>
      </c>
    </row>
    <row r="80" spans="1:1">
      <c r="A80" t="s">
        <v>509</v>
      </c>
    </row>
    <row r="81" spans="1:1">
      <c r="A81" t="s">
        <v>510</v>
      </c>
    </row>
    <row r="82" spans="1:1">
      <c r="A82" t="s">
        <v>511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9B53B-977B-47D9-B883-5423BA79E9BC}">
  <dimension ref="A1:F90"/>
  <sheetViews>
    <sheetView topLeftCell="A39" workbookViewId="0">
      <selection activeCell="A71" sqref="A71:A90"/>
    </sheetView>
  </sheetViews>
  <sheetFormatPr defaultRowHeight="15"/>
  <cols>
    <col min="1" max="1" width="30" customWidth="1"/>
    <col min="2" max="3" width="18" customWidth="1"/>
    <col min="4" max="4" width="21.140625" customWidth="1"/>
    <col min="5" max="6" width="18" customWidth="1"/>
  </cols>
  <sheetData>
    <row r="1" spans="1:6">
      <c r="A1" s="1" t="s">
        <v>0</v>
      </c>
    </row>
    <row r="2" spans="1:6">
      <c r="A2" s="1"/>
    </row>
    <row r="3" spans="1:6">
      <c r="A3" t="s">
        <v>1</v>
      </c>
      <c r="B3" s="4" t="s">
        <v>2</v>
      </c>
      <c r="C3" s="7" t="s">
        <v>3</v>
      </c>
      <c r="D3" s="5" t="s">
        <v>4</v>
      </c>
      <c r="E3" s="6" t="s">
        <v>5</v>
      </c>
      <c r="F3" t="s">
        <v>6</v>
      </c>
    </row>
    <row r="4" spans="1:6" ht="60.75">
      <c r="B4" s="2" t="s">
        <v>7</v>
      </c>
      <c r="C4" s="2" t="s">
        <v>8</v>
      </c>
      <c r="D4" s="2" t="s">
        <v>9</v>
      </c>
      <c r="E4" s="2" t="s">
        <v>10</v>
      </c>
    </row>
    <row r="5" spans="1:6">
      <c r="B5" s="2"/>
      <c r="C5" s="2"/>
      <c r="D5" s="2"/>
      <c r="E5" s="2"/>
    </row>
    <row r="6" spans="1:6">
      <c r="A6" s="9" t="s">
        <v>11</v>
      </c>
    </row>
    <row r="7" spans="1:6">
      <c r="A7" s="9"/>
      <c r="B7">
        <f>COUNTIF(B9:D31,TRUE)</f>
        <v>15</v>
      </c>
    </row>
    <row r="8" spans="1:6">
      <c r="A8" t="s">
        <v>12</v>
      </c>
      <c r="B8" t="s">
        <v>13</v>
      </c>
      <c r="C8" t="s">
        <v>14</v>
      </c>
      <c r="D8" t="s">
        <v>15</v>
      </c>
    </row>
    <row r="9" spans="1:6">
      <c r="A9" t="s">
        <v>16</v>
      </c>
      <c r="B9" s="3" t="b">
        <v>0</v>
      </c>
      <c r="C9" s="3" t="b">
        <v>0</v>
      </c>
      <c r="D9" s="3" t="b">
        <v>1</v>
      </c>
    </row>
    <row r="10" spans="1:6">
      <c r="A10" t="s">
        <v>17</v>
      </c>
      <c r="B10" s="3" t="b">
        <v>0</v>
      </c>
      <c r="C10" s="3" t="b">
        <v>1</v>
      </c>
      <c r="D10" s="3" t="b">
        <v>0</v>
      </c>
    </row>
    <row r="11" spans="1:6">
      <c r="A11" t="s">
        <v>18</v>
      </c>
      <c r="B11" s="3" t="b">
        <v>1</v>
      </c>
      <c r="C11" s="3" t="b">
        <v>0</v>
      </c>
      <c r="D11" s="3" t="b">
        <v>0</v>
      </c>
    </row>
    <row r="12" spans="1:6">
      <c r="A12" t="s">
        <v>19</v>
      </c>
      <c r="B12" s="3" t="b">
        <v>0</v>
      </c>
      <c r="C12" s="3" t="b">
        <v>1</v>
      </c>
      <c r="D12" s="3" t="b">
        <v>0</v>
      </c>
    </row>
    <row r="13" spans="1:6">
      <c r="A13" t="s">
        <v>20</v>
      </c>
      <c r="B13" s="3" t="b">
        <v>0</v>
      </c>
      <c r="C13" s="3" t="b">
        <v>1</v>
      </c>
      <c r="D13" s="3" t="b">
        <v>0</v>
      </c>
    </row>
    <row r="14" spans="1:6">
      <c r="A14" t="s">
        <v>21</v>
      </c>
      <c r="B14" s="3" t="b">
        <v>0</v>
      </c>
      <c r="C14" s="3" t="b">
        <v>0</v>
      </c>
      <c r="D14" s="3" t="b">
        <v>1</v>
      </c>
      <c r="E14" t="s">
        <v>22</v>
      </c>
      <c r="F14">
        <f>SUM(B6:D31)</f>
        <v>15</v>
      </c>
    </row>
    <row r="15" spans="1:6">
      <c r="A15" t="s">
        <v>23</v>
      </c>
      <c r="B15" s="3" t="b">
        <v>1</v>
      </c>
      <c r="C15" s="3" t="b">
        <v>0</v>
      </c>
      <c r="D15" s="3" t="b">
        <v>0</v>
      </c>
      <c r="E15" t="s">
        <v>24</v>
      </c>
      <c r="F15" s="7" t="str">
        <f>IF(F14&gt;=22,"Avançado",IF(F14&gt;=16,"Adequado",IF(F14&gt;=10,"Básico","Iniciante")))</f>
        <v>Básico</v>
      </c>
    </row>
    <row r="17" spans="1:4">
      <c r="A17" s="9" t="s">
        <v>25</v>
      </c>
    </row>
    <row r="18" spans="1:4">
      <c r="A18" s="2"/>
    </row>
    <row r="19" spans="1:4">
      <c r="A19" s="2" t="s">
        <v>1</v>
      </c>
      <c r="B19" t="s">
        <v>26</v>
      </c>
      <c r="C19" s="18" t="s">
        <v>512</v>
      </c>
      <c r="D19" t="s">
        <v>513</v>
      </c>
    </row>
    <row r="20" spans="1:4">
      <c r="A20" s="8" t="s">
        <v>28</v>
      </c>
      <c r="B20" s="3" t="b">
        <v>0</v>
      </c>
      <c r="C20" s="3" t="b">
        <v>1</v>
      </c>
      <c r="D20" s="3" t="b">
        <v>0</v>
      </c>
    </row>
    <row r="21" spans="1:4">
      <c r="A21" s="8" t="s">
        <v>29</v>
      </c>
      <c r="B21" s="3" t="b">
        <v>0</v>
      </c>
      <c r="C21" s="3" t="b">
        <v>1</v>
      </c>
      <c r="D21" s="3" t="b">
        <v>0</v>
      </c>
    </row>
    <row r="22" spans="1:4">
      <c r="A22" s="2" t="s">
        <v>30</v>
      </c>
      <c r="B22" s="3" t="b">
        <v>0</v>
      </c>
      <c r="C22" s="3" t="b">
        <v>1</v>
      </c>
      <c r="D22" s="3" t="b">
        <v>0</v>
      </c>
    </row>
    <row r="23" spans="1:4">
      <c r="A23" s="2" t="s">
        <v>31</v>
      </c>
      <c r="B23" s="3" t="b">
        <v>0</v>
      </c>
      <c r="C23" s="3" t="b">
        <v>0</v>
      </c>
      <c r="D23" s="3" t="b">
        <v>1</v>
      </c>
    </row>
    <row r="24" spans="1:4">
      <c r="A24" s="2"/>
    </row>
    <row r="25" spans="1:4">
      <c r="A25" s="10" t="s">
        <v>32</v>
      </c>
    </row>
    <row r="27" spans="1:4" ht="30.75">
      <c r="A27" t="s">
        <v>1</v>
      </c>
      <c r="B27" t="s">
        <v>26</v>
      </c>
      <c r="C27" s="16" t="s">
        <v>33</v>
      </c>
      <c r="D27" s="15" t="s">
        <v>34</v>
      </c>
    </row>
    <row r="28" spans="1:4">
      <c r="A28" t="s">
        <v>35</v>
      </c>
      <c r="B28" s="3" t="b">
        <v>0</v>
      </c>
      <c r="C28" s="3" t="b">
        <v>0</v>
      </c>
      <c r="D28" s="3" t="b">
        <v>1</v>
      </c>
    </row>
    <row r="29" spans="1:4">
      <c r="A29" t="s">
        <v>6</v>
      </c>
      <c r="B29" s="3" t="b">
        <v>0</v>
      </c>
      <c r="C29" s="3" t="b">
        <v>0</v>
      </c>
      <c r="D29" s="3" t="b">
        <v>1</v>
      </c>
    </row>
    <row r="30" spans="1:4">
      <c r="A30" t="s">
        <v>36</v>
      </c>
      <c r="B30" s="3" t="b">
        <v>0</v>
      </c>
      <c r="C30" s="3" t="b">
        <v>1</v>
      </c>
      <c r="D30" s="3" t="b">
        <v>0</v>
      </c>
    </row>
    <row r="31" spans="1:4">
      <c r="A31" t="s">
        <v>37</v>
      </c>
      <c r="B31" s="3" t="b">
        <v>0</v>
      </c>
      <c r="C31" s="3" t="b">
        <v>1</v>
      </c>
      <c r="D31" s="3" t="b">
        <v>0</v>
      </c>
    </row>
    <row r="34" spans="1:1">
      <c r="A34" t="s">
        <v>46</v>
      </c>
    </row>
    <row r="35" spans="1:1">
      <c r="A35" t="s">
        <v>514</v>
      </c>
    </row>
    <row r="37" spans="1:1">
      <c r="A37" t="s">
        <v>46</v>
      </c>
    </row>
    <row r="38" spans="1:1">
      <c r="A38" t="s">
        <v>515</v>
      </c>
    </row>
    <row r="40" spans="1:1">
      <c r="A40" t="s">
        <v>46</v>
      </c>
    </row>
    <row r="41" spans="1:1">
      <c r="A41" t="s">
        <v>516</v>
      </c>
    </row>
    <row r="43" spans="1:1">
      <c r="A43" t="s">
        <v>112</v>
      </c>
    </row>
    <row r="44" spans="1:1">
      <c r="A44" t="s">
        <v>71</v>
      </c>
    </row>
    <row r="45" spans="1:1">
      <c r="A45" t="s">
        <v>517</v>
      </c>
    </row>
    <row r="46" spans="1:1">
      <c r="A46" t="s">
        <v>518</v>
      </c>
    </row>
    <row r="47" spans="1:1">
      <c r="A47" t="s">
        <v>519</v>
      </c>
    </row>
    <row r="48" spans="1:1">
      <c r="A48" t="s">
        <v>520</v>
      </c>
    </row>
    <row r="49" spans="1:1">
      <c r="A49" t="s">
        <v>521</v>
      </c>
    </row>
    <row r="51" spans="1:1">
      <c r="A51" t="s">
        <v>117</v>
      </c>
    </row>
    <row r="52" spans="1:1">
      <c r="A52" t="s">
        <v>383</v>
      </c>
    </row>
    <row r="53" spans="1:1">
      <c r="A53" t="s">
        <v>522</v>
      </c>
    </row>
    <row r="54" spans="1:1">
      <c r="A54" t="s">
        <v>260</v>
      </c>
    </row>
    <row r="55" spans="1:1">
      <c r="A55" t="s">
        <v>150</v>
      </c>
    </row>
    <row r="56" spans="1:1">
      <c r="A56" t="s">
        <v>523</v>
      </c>
    </row>
    <row r="57" spans="1:1">
      <c r="A57" t="s">
        <v>261</v>
      </c>
    </row>
    <row r="59" spans="1:1">
      <c r="A59" t="s">
        <v>123</v>
      </c>
    </row>
    <row r="60" spans="1:1">
      <c r="A60" t="s">
        <v>124</v>
      </c>
    </row>
    <row r="61" spans="1:1">
      <c r="A61" t="s">
        <v>200</v>
      </c>
    </row>
    <row r="62" spans="1:1">
      <c r="A62" t="s">
        <v>84</v>
      </c>
    </row>
    <row r="63" spans="1:1">
      <c r="A63" t="s">
        <v>155</v>
      </c>
    </row>
    <row r="64" spans="1:1">
      <c r="A64" t="s">
        <v>524</v>
      </c>
    </row>
    <row r="65" spans="1:1">
      <c r="A65" t="s">
        <v>525</v>
      </c>
    </row>
    <row r="66" spans="1:1">
      <c r="A66" t="s">
        <v>526</v>
      </c>
    </row>
    <row r="68" spans="1:1">
      <c r="A68" t="s">
        <v>127</v>
      </c>
    </row>
    <row r="69" spans="1:1">
      <c r="A69" t="s">
        <v>527</v>
      </c>
    </row>
    <row r="71" spans="1:1">
      <c r="A71" t="s">
        <v>129</v>
      </c>
    </row>
    <row r="72" spans="1:1">
      <c r="A72" t="s">
        <v>468</v>
      </c>
    </row>
    <row r="73" spans="1:1">
      <c r="A73" t="s">
        <v>528</v>
      </c>
    </row>
    <row r="74" spans="1:1">
      <c r="A74" t="s">
        <v>529</v>
      </c>
    </row>
    <row r="75" spans="1:1">
      <c r="A75" t="s">
        <v>530</v>
      </c>
    </row>
    <row r="76" spans="1:1">
      <c r="A76" t="s">
        <v>531</v>
      </c>
    </row>
    <row r="77" spans="1:1">
      <c r="A77" t="s">
        <v>532</v>
      </c>
    </row>
    <row r="78" spans="1:1">
      <c r="A78" t="s">
        <v>492</v>
      </c>
    </row>
    <row r="79" spans="1:1">
      <c r="A79" t="s">
        <v>533</v>
      </c>
    </row>
    <row r="80" spans="1:1">
      <c r="A80" t="s">
        <v>534</v>
      </c>
    </row>
    <row r="81" spans="1:1">
      <c r="A81" t="s">
        <v>535</v>
      </c>
    </row>
    <row r="82" spans="1:1">
      <c r="A82" t="s">
        <v>536</v>
      </c>
    </row>
    <row r="83" spans="1:1">
      <c r="A83" t="s">
        <v>537</v>
      </c>
    </row>
    <row r="84" spans="1:1">
      <c r="A84" t="s">
        <v>538</v>
      </c>
    </row>
    <row r="85" spans="1:1">
      <c r="A85" t="s">
        <v>539</v>
      </c>
    </row>
    <row r="86" spans="1:1">
      <c r="A86" t="s">
        <v>540</v>
      </c>
    </row>
    <row r="87" spans="1:1">
      <c r="A87" t="s">
        <v>541</v>
      </c>
    </row>
    <row r="88" spans="1:1">
      <c r="A88" t="s">
        <v>542</v>
      </c>
    </row>
    <row r="89" spans="1:1">
      <c r="A89" t="s">
        <v>543</v>
      </c>
    </row>
    <row r="90" spans="1:1">
      <c r="A90" t="s">
        <v>544</v>
      </c>
    </row>
  </sheetData>
  <conditionalFormatting sqref="F15">
    <cfRule type="containsText" dxfId="0" priority="1" operator="containsText" text="Básico ">
      <formula>NOT(ISERROR(SEARCH("Básico ",F15)))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534B-BD37-4843-8A20-57832D4B72AB}">
  <dimension ref="A1:F47"/>
  <sheetViews>
    <sheetView topLeftCell="A4" workbookViewId="0">
      <selection activeCell="F19" sqref="F19"/>
    </sheetView>
  </sheetViews>
  <sheetFormatPr defaultRowHeight="15"/>
  <cols>
    <col min="1" max="1" width="33.7109375" customWidth="1"/>
    <col min="2" max="3" width="18" customWidth="1"/>
    <col min="4" max="4" width="21.140625" customWidth="1"/>
    <col min="5" max="6" width="18" customWidth="1"/>
  </cols>
  <sheetData>
    <row r="1" spans="1:6">
      <c r="A1" s="1" t="s">
        <v>0</v>
      </c>
    </row>
    <row r="2" spans="1:6">
      <c r="A2" s="1"/>
    </row>
    <row r="3" spans="1:6">
      <c r="A3" t="s">
        <v>1</v>
      </c>
      <c r="B3" s="4" t="s">
        <v>2</v>
      </c>
      <c r="C3" s="7" t="s">
        <v>3</v>
      </c>
      <c r="D3" s="5" t="s">
        <v>4</v>
      </c>
      <c r="E3" s="6" t="s">
        <v>5</v>
      </c>
      <c r="F3" t="s">
        <v>6</v>
      </c>
    </row>
    <row r="4" spans="1:6" ht="60.75">
      <c r="B4" s="2" t="s">
        <v>7</v>
      </c>
      <c r="C4" s="2" t="s">
        <v>8</v>
      </c>
      <c r="D4" s="2" t="s">
        <v>9</v>
      </c>
      <c r="E4" s="2" t="s">
        <v>10</v>
      </c>
    </row>
    <row r="5" spans="1:6">
      <c r="B5" s="2"/>
      <c r="C5" s="2"/>
      <c r="D5" s="2"/>
      <c r="E5" s="2"/>
    </row>
    <row r="6" spans="1:6">
      <c r="A6" s="9" t="s">
        <v>11</v>
      </c>
    </row>
    <row r="7" spans="1:6">
      <c r="A7" s="9"/>
      <c r="B7">
        <f>COUNTIF(B9:D31,TRUE)</f>
        <v>14</v>
      </c>
    </row>
    <row r="8" spans="1:6">
      <c r="A8" t="s">
        <v>12</v>
      </c>
      <c r="B8" t="s">
        <v>13</v>
      </c>
      <c r="C8" t="s">
        <v>14</v>
      </c>
      <c r="D8" t="s">
        <v>15</v>
      </c>
    </row>
    <row r="9" spans="1:6">
      <c r="A9" t="s">
        <v>16</v>
      </c>
      <c r="B9" s="3" t="b">
        <v>0</v>
      </c>
      <c r="C9" s="3" t="b">
        <v>1</v>
      </c>
      <c r="D9" s="3" t="b">
        <v>0</v>
      </c>
    </row>
    <row r="10" spans="1:6">
      <c r="A10" t="s">
        <v>17</v>
      </c>
      <c r="B10" s="3" t="b">
        <v>0</v>
      </c>
      <c r="C10" s="3" t="b">
        <v>1</v>
      </c>
      <c r="D10" s="3" t="b">
        <v>0</v>
      </c>
    </row>
    <row r="11" spans="1:6">
      <c r="A11" t="s">
        <v>18</v>
      </c>
      <c r="B11" s="3" t="b">
        <v>1</v>
      </c>
      <c r="C11" s="3" t="b">
        <v>0</v>
      </c>
      <c r="D11" s="3" t="b">
        <v>0</v>
      </c>
    </row>
    <row r="12" spans="1:6">
      <c r="A12" t="s">
        <v>19</v>
      </c>
      <c r="B12" s="3" t="b">
        <v>0</v>
      </c>
      <c r="C12" s="3" t="b">
        <v>1</v>
      </c>
      <c r="D12" s="3" t="b">
        <v>0</v>
      </c>
    </row>
    <row r="13" spans="1:6">
      <c r="A13" t="s">
        <v>20</v>
      </c>
      <c r="B13" s="3" t="b">
        <v>0</v>
      </c>
      <c r="C13" s="3" t="b">
        <v>1</v>
      </c>
      <c r="D13" s="3" t="b">
        <v>0</v>
      </c>
    </row>
    <row r="14" spans="1:6">
      <c r="A14" t="s">
        <v>21</v>
      </c>
      <c r="B14" s="3" t="b">
        <v>0</v>
      </c>
      <c r="C14" s="3" t="b">
        <v>0</v>
      </c>
      <c r="D14" s="3" t="b">
        <v>1</v>
      </c>
      <c r="E14" t="s">
        <v>22</v>
      </c>
      <c r="F14">
        <f>SUM(B6:D31)</f>
        <v>14</v>
      </c>
    </row>
    <row r="15" spans="1:6">
      <c r="A15" t="s">
        <v>23</v>
      </c>
      <c r="B15" s="3" t="b">
        <v>1</v>
      </c>
      <c r="C15" s="3" t="b">
        <v>0</v>
      </c>
      <c r="D15" s="3" t="b">
        <v>0</v>
      </c>
      <c r="E15" t="s">
        <v>24</v>
      </c>
      <c r="F15" s="7" t="str">
        <f>IF(F14&gt;=22,"Avançado",IF(F14&gt;=16,"Adequado",IF(F14&gt;=10,"Básico","Iniciante")))</f>
        <v>Básico</v>
      </c>
    </row>
    <row r="17" spans="1:4">
      <c r="A17" s="9" t="s">
        <v>25</v>
      </c>
    </row>
    <row r="18" spans="1:4">
      <c r="A18" s="2"/>
    </row>
    <row r="19" spans="1:4">
      <c r="A19" s="2" t="s">
        <v>1</v>
      </c>
      <c r="B19" t="s">
        <v>26</v>
      </c>
      <c r="C19" t="s">
        <v>14</v>
      </c>
      <c r="D19" t="s">
        <v>27</v>
      </c>
    </row>
    <row r="20" spans="1:4">
      <c r="A20" s="8" t="s">
        <v>28</v>
      </c>
      <c r="B20" s="3" t="b">
        <v>1</v>
      </c>
      <c r="C20" s="3" t="b">
        <v>0</v>
      </c>
      <c r="D20" s="3" t="b">
        <v>0</v>
      </c>
    </row>
    <row r="21" spans="1:4">
      <c r="A21" s="8" t="s">
        <v>29</v>
      </c>
      <c r="B21" s="3" t="b">
        <v>0</v>
      </c>
      <c r="C21" s="3" t="b">
        <v>1</v>
      </c>
      <c r="D21" s="3" t="b">
        <v>0</v>
      </c>
    </row>
    <row r="22" spans="1:4">
      <c r="A22" s="2" t="s">
        <v>30</v>
      </c>
      <c r="B22" s="3" t="b">
        <v>0</v>
      </c>
      <c r="C22" s="3" t="b">
        <v>1</v>
      </c>
      <c r="D22" s="3" t="b">
        <v>0</v>
      </c>
    </row>
    <row r="23" spans="1:4">
      <c r="A23" s="2" t="s">
        <v>31</v>
      </c>
      <c r="B23" s="3" t="b">
        <v>0</v>
      </c>
      <c r="C23" s="3" t="b">
        <v>1</v>
      </c>
      <c r="D23" s="3" t="b">
        <v>0</v>
      </c>
    </row>
    <row r="24" spans="1:4">
      <c r="A24" s="2"/>
    </row>
    <row r="25" spans="1:4">
      <c r="A25" s="10" t="s">
        <v>32</v>
      </c>
    </row>
    <row r="27" spans="1:4" ht="30.75">
      <c r="A27" t="s">
        <v>1</v>
      </c>
      <c r="B27" t="s">
        <v>26</v>
      </c>
      <c r="C27" s="16" t="s">
        <v>33</v>
      </c>
      <c r="D27" s="15" t="s">
        <v>34</v>
      </c>
    </row>
    <row r="28" spans="1:4">
      <c r="A28" t="s">
        <v>35</v>
      </c>
      <c r="B28" s="3" t="b">
        <v>0</v>
      </c>
      <c r="C28" s="3" t="b">
        <v>1</v>
      </c>
      <c r="D28" s="3" t="b">
        <v>0</v>
      </c>
    </row>
    <row r="29" spans="1:4">
      <c r="A29" t="s">
        <v>6</v>
      </c>
      <c r="B29" s="3" t="b">
        <v>0</v>
      </c>
      <c r="C29" s="3" t="b">
        <v>1</v>
      </c>
      <c r="D29" s="3" t="b">
        <v>0</v>
      </c>
    </row>
    <row r="30" spans="1:4">
      <c r="A30" t="s">
        <v>36</v>
      </c>
      <c r="B30" s="3" t="b">
        <v>0</v>
      </c>
      <c r="C30" s="3" t="b">
        <v>1</v>
      </c>
      <c r="D30" s="3" t="b">
        <v>0</v>
      </c>
    </row>
    <row r="31" spans="1:4">
      <c r="A31" t="s">
        <v>37</v>
      </c>
      <c r="B31" s="3" t="b">
        <v>0</v>
      </c>
      <c r="C31" s="3" t="b">
        <v>0</v>
      </c>
      <c r="D31" s="3" t="b">
        <v>0</v>
      </c>
    </row>
    <row r="33" spans="1:2">
      <c r="A33" t="s">
        <v>545</v>
      </c>
    </row>
    <row r="35" spans="1:2">
      <c r="A35" s="14" t="s">
        <v>546</v>
      </c>
      <c r="B35" s="14" t="b">
        <v>0</v>
      </c>
    </row>
    <row r="36" spans="1:2">
      <c r="A36" s="13" t="s">
        <v>26</v>
      </c>
      <c r="B36" s="13" t="b">
        <v>0</v>
      </c>
    </row>
    <row r="37" spans="1:2">
      <c r="A37" s="11" t="s">
        <v>547</v>
      </c>
      <c r="B37" s="11" t="b">
        <v>1</v>
      </c>
    </row>
    <row r="38" spans="1:2">
      <c r="A38" s="12" t="s">
        <v>548</v>
      </c>
      <c r="B38" s="12" t="b">
        <v>0</v>
      </c>
    </row>
    <row r="40" spans="1:2">
      <c r="A40" t="s">
        <v>549</v>
      </c>
    </row>
    <row r="41" spans="1:2">
      <c r="A41" t="s">
        <v>550</v>
      </c>
      <c r="B41" s="3" t="b">
        <v>0</v>
      </c>
    </row>
    <row r="42" spans="1:2">
      <c r="A42" t="s">
        <v>551</v>
      </c>
      <c r="B42" s="3" t="b">
        <v>0</v>
      </c>
    </row>
    <row r="43" spans="1:2">
      <c r="A43" t="s">
        <v>552</v>
      </c>
      <c r="B43" s="3" t="b">
        <v>0</v>
      </c>
    </row>
    <row r="44" spans="1:2">
      <c r="A44" t="s">
        <v>553</v>
      </c>
      <c r="B44" s="3" t="b">
        <v>0</v>
      </c>
    </row>
    <row r="45" spans="1:2">
      <c r="A45" t="s">
        <v>554</v>
      </c>
      <c r="B45" s="3" t="b">
        <v>0</v>
      </c>
    </row>
    <row r="46" spans="1:2">
      <c r="A46" t="s">
        <v>555</v>
      </c>
      <c r="B46" s="3" t="b">
        <v>0</v>
      </c>
    </row>
    <row r="47" spans="1:2">
      <c r="A47" t="s">
        <v>556</v>
      </c>
      <c r="B47" s="3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opLeftCell="A3" workbookViewId="0">
      <selection activeCell="A2" sqref="A2"/>
    </sheetView>
  </sheetViews>
  <sheetFormatPr defaultRowHeight="15"/>
  <cols>
    <col min="1" max="1" width="30" customWidth="1"/>
    <col min="2" max="3" width="18" customWidth="1"/>
    <col min="4" max="4" width="21.140625" customWidth="1"/>
    <col min="5" max="6" width="18" customWidth="1"/>
  </cols>
  <sheetData>
    <row r="1" spans="1:6">
      <c r="A1" s="1" t="s">
        <v>0</v>
      </c>
    </row>
    <row r="2" spans="1:6">
      <c r="A2" s="1"/>
    </row>
    <row r="3" spans="1:6">
      <c r="A3" t="s">
        <v>1</v>
      </c>
      <c r="B3" s="4" t="s">
        <v>2</v>
      </c>
      <c r="C3" s="7" t="s">
        <v>3</v>
      </c>
      <c r="D3" s="5" t="s">
        <v>4</v>
      </c>
      <c r="E3" s="6" t="s">
        <v>5</v>
      </c>
      <c r="F3" t="s">
        <v>6</v>
      </c>
    </row>
    <row r="5" spans="1:6">
      <c r="A5" t="s">
        <v>11</v>
      </c>
    </row>
    <row r="6" spans="1:6">
      <c r="A6" t="s">
        <v>12</v>
      </c>
      <c r="B6" t="s">
        <v>13</v>
      </c>
      <c r="C6" t="s">
        <v>14</v>
      </c>
      <c r="D6" t="s">
        <v>15</v>
      </c>
    </row>
    <row r="7" spans="1:6">
      <c r="A7" t="s">
        <v>16</v>
      </c>
      <c r="B7" s="3" t="b">
        <v>0</v>
      </c>
      <c r="C7" s="3" t="b">
        <v>0</v>
      </c>
      <c r="D7" s="3" t="b">
        <v>0</v>
      </c>
    </row>
    <row r="8" spans="1:6">
      <c r="A8" t="s">
        <v>17</v>
      </c>
      <c r="B8" s="3" t="b">
        <v>0</v>
      </c>
      <c r="C8" s="3" t="b">
        <v>0</v>
      </c>
      <c r="D8" s="3" t="b">
        <v>0</v>
      </c>
    </row>
    <row r="9" spans="1:6">
      <c r="A9" t="s">
        <v>18</v>
      </c>
      <c r="B9" s="3" t="b">
        <v>0</v>
      </c>
      <c r="C9" s="3" t="b">
        <v>0</v>
      </c>
      <c r="D9" s="3" t="b">
        <v>0</v>
      </c>
    </row>
    <row r="10" spans="1:6">
      <c r="A10" t="s">
        <v>19</v>
      </c>
      <c r="B10" s="3" t="b">
        <v>0</v>
      </c>
      <c r="C10" s="3" t="b">
        <v>0</v>
      </c>
      <c r="D10" s="3" t="b">
        <v>0</v>
      </c>
    </row>
    <row r="11" spans="1:6">
      <c r="A11" t="s">
        <v>20</v>
      </c>
      <c r="B11" s="3" t="b">
        <v>0</v>
      </c>
      <c r="C11" s="3" t="b">
        <v>0</v>
      </c>
      <c r="D11" s="3" t="b">
        <v>0</v>
      </c>
    </row>
    <row r="12" spans="1:6">
      <c r="A12" t="s">
        <v>21</v>
      </c>
      <c r="B12" s="3" t="b">
        <v>0</v>
      </c>
      <c r="C12" s="3" t="b">
        <v>0</v>
      </c>
      <c r="D12" s="3" t="b">
        <v>0</v>
      </c>
      <c r="E12" t="s">
        <v>22</v>
      </c>
      <c r="F12">
        <f>SUM(F5:F11)</f>
        <v>0</v>
      </c>
    </row>
    <row r="13" spans="1:6">
      <c r="A13" t="s">
        <v>23</v>
      </c>
      <c r="B13" s="3" t="b">
        <v>0</v>
      </c>
      <c r="C13" s="3" t="b">
        <v>0</v>
      </c>
      <c r="D13" s="3" t="b">
        <v>0</v>
      </c>
      <c r="E13" t="s">
        <v>24</v>
      </c>
      <c r="F13" t="str">
        <f>IF(F12&gt;=22,"Avançado",IF(F12&gt;=16,"Adequado",IF(F12&gt;=10,"Básico","Iniciante")))</f>
        <v>Iniciante</v>
      </c>
    </row>
    <row r="15" spans="1:6">
      <c r="A15" t="s">
        <v>25</v>
      </c>
    </row>
    <row r="16" spans="1:6">
      <c r="A16" s="2"/>
    </row>
    <row r="17" spans="1:4">
      <c r="A17" s="2" t="s">
        <v>1</v>
      </c>
      <c r="B17" t="s">
        <v>26</v>
      </c>
      <c r="C17" t="s">
        <v>14</v>
      </c>
      <c r="D17" t="s">
        <v>27</v>
      </c>
    </row>
    <row r="18" spans="1:4" ht="30.75">
      <c r="A18" s="2" t="s">
        <v>28</v>
      </c>
      <c r="B18" s="3" t="b">
        <v>0</v>
      </c>
      <c r="C18" s="3" t="b">
        <v>0</v>
      </c>
      <c r="D18" s="3" t="b">
        <v>0</v>
      </c>
    </row>
    <row r="19" spans="1:4" ht="30.75">
      <c r="A19" s="2" t="s">
        <v>29</v>
      </c>
      <c r="B19" s="3" t="b">
        <v>0</v>
      </c>
      <c r="C19" s="3" t="b">
        <v>0</v>
      </c>
      <c r="D19" s="3" t="b">
        <v>0</v>
      </c>
    </row>
    <row r="20" spans="1:4">
      <c r="A20" s="2" t="s">
        <v>30</v>
      </c>
      <c r="B20" s="3" t="b">
        <v>0</v>
      </c>
      <c r="C20" s="3" t="b">
        <v>0</v>
      </c>
      <c r="D20" s="3" t="b">
        <v>0</v>
      </c>
    </row>
    <row r="21" spans="1:4">
      <c r="A21" s="2" t="s">
        <v>31</v>
      </c>
      <c r="B21" s="3" t="b">
        <v>0</v>
      </c>
      <c r="C21" s="3" t="b">
        <v>0</v>
      </c>
      <c r="D21" s="3" t="b">
        <v>0</v>
      </c>
    </row>
    <row r="22" spans="1:4">
      <c r="A22" s="2"/>
    </row>
    <row r="23" spans="1:4">
      <c r="A23" s="2" t="s">
        <v>32</v>
      </c>
    </row>
    <row r="25" spans="1:4">
      <c r="A25" t="s">
        <v>1</v>
      </c>
      <c r="B25" t="s">
        <v>26</v>
      </c>
      <c r="C25" t="s">
        <v>14</v>
      </c>
      <c r="D25" t="s">
        <v>27</v>
      </c>
    </row>
    <row r="26" spans="1:4">
      <c r="A26" t="s">
        <v>35</v>
      </c>
      <c r="B26" s="3" t="b">
        <v>0</v>
      </c>
      <c r="C26" s="3" t="b">
        <v>0</v>
      </c>
      <c r="D26" s="3" t="b">
        <v>0</v>
      </c>
    </row>
    <row r="27" spans="1:4">
      <c r="A27" t="s">
        <v>6</v>
      </c>
      <c r="B27" s="3" t="b">
        <v>0</v>
      </c>
      <c r="C27" s="3" t="b">
        <v>0</v>
      </c>
      <c r="D27" s="3" t="b">
        <v>0</v>
      </c>
    </row>
    <row r="28" spans="1:4">
      <c r="A28" t="s">
        <v>36</v>
      </c>
      <c r="B28" s="3" t="b">
        <v>0</v>
      </c>
      <c r="C28" s="3" t="b">
        <v>0</v>
      </c>
      <c r="D28" s="3" t="b">
        <v>0</v>
      </c>
    </row>
    <row r="29" spans="1:4">
      <c r="A29" t="s">
        <v>37</v>
      </c>
      <c r="B29" s="3" t="b">
        <v>0</v>
      </c>
      <c r="C29" s="3" t="b">
        <v>0</v>
      </c>
      <c r="D29" s="3" t="b">
        <v>0</v>
      </c>
    </row>
    <row r="40" spans="1:5">
      <c r="A40" t="s">
        <v>24</v>
      </c>
      <c r="B40" s="4" t="str">
        <f>IF(B39&gt;=22,"Avançado",IF(B39&gt;=16,"Adequado",IF(B39&gt;=10,"Básico","Iniciante")))</f>
        <v>Iniciante</v>
      </c>
      <c r="C40" s="7" t="str">
        <f>IF(C39&gt;=22,"Avançado",IF(C39&gt;=16,"Adequado",IF(C39&gt;=10,"Básico","Básico")))</f>
        <v>Básico</v>
      </c>
      <c r="D40" s="5" t="str">
        <f>IF(D39&gt;=22,"Avançado",IF(D39&gt;=16,"Adequado",IF(D39&gt;=10,"Básico","Adequado")))</f>
        <v>Adequado</v>
      </c>
      <c r="E40" s="6" t="str">
        <f>IF(E39&gt;=22,"Avançado",IF(E39&gt;=16,"Adequado",IF(E39&gt;=10,"Básico","Avançado")))</f>
        <v>Avançado</v>
      </c>
    </row>
    <row r="41" spans="1:5" ht="60.75">
      <c r="B41" s="2" t="s">
        <v>7</v>
      </c>
      <c r="C41" s="2" t="s">
        <v>8</v>
      </c>
      <c r="D41" s="2" t="s">
        <v>9</v>
      </c>
      <c r="E41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Alaete Medeiros</cp:lastModifiedBy>
  <cp:revision/>
  <dcterms:created xsi:type="dcterms:W3CDTF">2026-02-12T11:07:13Z</dcterms:created>
  <dcterms:modified xsi:type="dcterms:W3CDTF">2026-03-17T02:03:34Z</dcterms:modified>
  <cp:category/>
  <cp:contentStatus/>
</cp:coreProperties>
</file>