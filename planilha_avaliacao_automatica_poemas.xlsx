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Configuração" sheetId="2" state="visible" r:id="rId2"/>
    <sheet xmlns:r="http://schemas.openxmlformats.org/officeDocument/2006/relationships" name="Instruçõe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FF"/>
    </font>
    <font>
      <color rgb="00808080"/>
    </font>
    <font>
      <b val="1"/>
    </font>
    <font>
      <color rgb="00000000"/>
    </font>
    <font>
      <i val="1"/>
      <color rgb="00800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top style="medium">
        <color rgb="001F4E78"/>
      </top>
      <bottom style="medium">
        <color rgb="001F4E78"/>
      </bottom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5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165" fontId="6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6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K5" authorId="0" shapeId="0">
      <text>
        <t>Calculada automaticamente em escala de 0 a 10.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4" authorId="0" shapeId="0">
      <text>
        <t>Altere este peso para ajustar a importância do critério.</t>
      </text>
    </comment>
  </commentList>
</comments>
</file>

<file path=xl/tables/table1.xml><?xml version="1.0" encoding="utf-8"?>
<table xmlns="http://schemas.openxmlformats.org/spreadsheetml/2006/main" id="1" name="TabelaAvaliacao" displayName="TabelaAvaliacao" ref="A5:M55" headerRowCount="1">
  <autoFilter ref="A5:M55"/>
  <tableColumns count="13">
    <tableColumn id="1" name="Nome"/>
    <tableColumn id="2" name="Turma"/>
    <tableColumn id="3" name="Data"/>
    <tableColumn id="4" name="Tema cultural"/>
    <tableColumn id="5" name="Criatividade"/>
    <tableColumn id="6" name="Linguagem poética"/>
    <tableColumn id="7" name="Organização"/>
    <tableColumn id="8" name="Expressão visual"/>
    <tableColumn id="9" name="Participação"/>
    <tableColumn id="10" name="Pontos"/>
    <tableColumn id="11" name="Nota final"/>
    <tableColumn id="12" name="Conceito"/>
    <tableColumn id="13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3" customWidth="1" min="5" max="5"/>
    <col width="17" customWidth="1" min="6" max="6"/>
    <col width="13" customWidth="1" min="7" max="7"/>
    <col width="16" customWidth="1" min="8" max="8"/>
    <col width="14" customWidth="1" min="9" max="9"/>
    <col width="10" customWidth="1" min="10" max="10"/>
    <col width="11" customWidth="1" min="11" max="11"/>
    <col width="18" customWidth="1" min="12" max="12"/>
    <col width="28" customWidth="1" min="13" max="13"/>
  </cols>
  <sheetData>
    <row r="1">
      <c r="A1" s="1" t="inlineStr">
        <is>
          <t>Planilha Automática de Avaliação dos Poemas</t>
        </is>
      </c>
    </row>
    <row r="2">
      <c r="A2" s="2" t="inlineStr">
        <is>
          <t>Projeto</t>
        </is>
      </c>
      <c r="B2" s="3" t="inlineStr">
        <is>
          <t>Poesia e Ancestralidade</t>
        </is>
      </c>
      <c r="C2" s="3" t="n"/>
      <c r="D2" s="3" t="n"/>
      <c r="E2" s="2" t="inlineStr">
        <is>
          <t>Data</t>
        </is>
      </c>
      <c r="F2" s="4" t="n">
        <v>46089</v>
      </c>
      <c r="G2" s="3" t="n"/>
      <c r="H2" s="2" t="inlineStr">
        <is>
          <t>Média da turma</t>
        </is>
      </c>
      <c r="I2" s="5">
        <f>IFERROR(AVERAGE(K6:K55),"")</f>
        <v/>
      </c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6" t="inlineStr">
        <is>
          <t>Nome</t>
        </is>
      </c>
      <c r="B5" s="6" t="inlineStr">
        <is>
          <t>Turma</t>
        </is>
      </c>
      <c r="C5" s="6" t="inlineStr">
        <is>
          <t>Data</t>
        </is>
      </c>
      <c r="D5" s="6" t="inlineStr">
        <is>
          <t>Tema cultural</t>
        </is>
      </c>
      <c r="E5" s="6" t="inlineStr">
        <is>
          <t>Criatividade</t>
        </is>
      </c>
      <c r="F5" s="6" t="inlineStr">
        <is>
          <t>Linguagem poética</t>
        </is>
      </c>
      <c r="G5" s="6" t="inlineStr">
        <is>
          <t>Organização</t>
        </is>
      </c>
      <c r="H5" s="6" t="inlineStr">
        <is>
          <t>Expressão visual</t>
        </is>
      </c>
      <c r="I5" s="6" t="inlineStr">
        <is>
          <t>Participação</t>
        </is>
      </c>
      <c r="J5" s="6" t="inlineStr">
        <is>
          <t>Pontos</t>
        </is>
      </c>
      <c r="K5" s="6" t="inlineStr">
        <is>
          <t>Nota final</t>
        </is>
      </c>
      <c r="L5" s="6" t="inlineStr">
        <is>
          <t>Conceito</t>
        </is>
      </c>
      <c r="M5" s="6" t="inlineStr">
        <is>
          <t>Observações</t>
        </is>
      </c>
    </row>
    <row r="6">
      <c r="A6" s="7" t="n"/>
      <c r="B6" s="7" t="n"/>
      <c r="C6" s="8">
        <f>IF(A6="","",$F$2)</f>
        <v/>
      </c>
      <c r="D6" s="9" t="n"/>
      <c r="E6" s="9" t="n"/>
      <c r="F6" s="9" t="n"/>
      <c r="G6" s="9" t="n"/>
      <c r="H6" s="9" t="n"/>
      <c r="I6" s="9" t="n"/>
      <c r="J6" s="10">
        <f>IF(A6="","",SUMPRODUCT(D6:I6,Configuração!$B$4:$B$9))</f>
        <v/>
      </c>
      <c r="K6" s="11">
        <f>IF(A6="","",ROUND(J6/Configuração!$B$11*Configuração!$B$12,1))</f>
        <v/>
      </c>
      <c r="L6" s="12">
        <f>IF(A6="","",IF(K6&gt;=9,"Excelente",IF(K6&gt;=7,"Bom",IF(K6&gt;=5,"Básico","Em desenvolvimento"))))</f>
        <v/>
      </c>
      <c r="M6" s="13" t="inlineStr"/>
    </row>
    <row r="7">
      <c r="A7" s="7" t="n"/>
      <c r="B7" s="7" t="n"/>
      <c r="C7" s="8">
        <f>IF(A7="","",$F$2)</f>
        <v/>
      </c>
      <c r="D7" s="9" t="n"/>
      <c r="E7" s="9" t="n"/>
      <c r="F7" s="9" t="n"/>
      <c r="G7" s="9" t="n"/>
      <c r="H7" s="9" t="n"/>
      <c r="I7" s="9" t="n"/>
      <c r="J7" s="10">
        <f>IF(A7="","",SUMPRODUCT(D7:I7,Configuração!$B$4:$B$9))</f>
        <v/>
      </c>
      <c r="K7" s="11">
        <f>IF(A7="","",ROUND(J7/Configuração!$B$11*Configuração!$B$12,1))</f>
        <v/>
      </c>
      <c r="L7" s="12">
        <f>IF(A7="","",IF(K7&gt;=9,"Excelente",IF(K7&gt;=7,"Bom",IF(K7&gt;=5,"Básico","Em desenvolvimento"))))</f>
        <v/>
      </c>
      <c r="M7" s="13" t="inlineStr"/>
    </row>
    <row r="8">
      <c r="A8" s="7" t="n"/>
      <c r="B8" s="7" t="n"/>
      <c r="C8" s="8">
        <f>IF(A8="","",$F$2)</f>
        <v/>
      </c>
      <c r="D8" s="9" t="n"/>
      <c r="E8" s="9" t="n"/>
      <c r="F8" s="9" t="n"/>
      <c r="G8" s="9" t="n"/>
      <c r="H8" s="9" t="n"/>
      <c r="I8" s="9" t="n"/>
      <c r="J8" s="10">
        <f>IF(A8="","",SUMPRODUCT(D8:I8,Configuração!$B$4:$B$9))</f>
        <v/>
      </c>
      <c r="K8" s="11">
        <f>IF(A8="","",ROUND(J8/Configuração!$B$11*Configuração!$B$12,1))</f>
        <v/>
      </c>
      <c r="L8" s="12">
        <f>IF(A8="","",IF(K8&gt;=9,"Excelente",IF(K8&gt;=7,"Bom",IF(K8&gt;=5,"Básico","Em desenvolvimento"))))</f>
        <v/>
      </c>
      <c r="M8" s="13" t="inlineStr"/>
    </row>
    <row r="9">
      <c r="A9" s="7" t="n"/>
      <c r="B9" s="7" t="n"/>
      <c r="C9" s="8">
        <f>IF(A9="","",$F$2)</f>
        <v/>
      </c>
      <c r="D9" s="9" t="n"/>
      <c r="E9" s="9" t="n"/>
      <c r="F9" s="9" t="n"/>
      <c r="G9" s="9" t="n"/>
      <c r="H9" s="9" t="n"/>
      <c r="I9" s="9" t="n"/>
      <c r="J9" s="10">
        <f>IF(A9="","",SUMPRODUCT(D9:I9,Configuração!$B$4:$B$9))</f>
        <v/>
      </c>
      <c r="K9" s="11">
        <f>IF(A9="","",ROUND(J9/Configuração!$B$11*Configuração!$B$12,1))</f>
        <v/>
      </c>
      <c r="L9" s="12">
        <f>IF(A9="","",IF(K9&gt;=9,"Excelente",IF(K9&gt;=7,"Bom",IF(K9&gt;=5,"Básico","Em desenvolvimento"))))</f>
        <v/>
      </c>
      <c r="M9" s="13" t="inlineStr"/>
    </row>
    <row r="10">
      <c r="A10" s="7" t="n"/>
      <c r="B10" s="7" t="n"/>
      <c r="C10" s="8">
        <f>IF(A10="","",$F$2)</f>
        <v/>
      </c>
      <c r="D10" s="9" t="n"/>
      <c r="E10" s="9" t="n"/>
      <c r="F10" s="9" t="n"/>
      <c r="G10" s="9" t="n"/>
      <c r="H10" s="9" t="n"/>
      <c r="I10" s="9" t="n"/>
      <c r="J10" s="10">
        <f>IF(A10="","",SUMPRODUCT(D10:I10,Configuração!$B$4:$B$9))</f>
        <v/>
      </c>
      <c r="K10" s="11">
        <f>IF(A10="","",ROUND(J10/Configuração!$B$11*Configuração!$B$12,1))</f>
        <v/>
      </c>
      <c r="L10" s="12">
        <f>IF(A10="","",IF(K10&gt;=9,"Excelente",IF(K10&gt;=7,"Bom",IF(K10&gt;=5,"Básico","Em desenvolvimento"))))</f>
        <v/>
      </c>
      <c r="M10" s="13" t="inlineStr"/>
    </row>
    <row r="11">
      <c r="A11" s="7" t="n"/>
      <c r="B11" s="7" t="n"/>
      <c r="C11" s="8">
        <f>IF(A11="","",$F$2)</f>
        <v/>
      </c>
      <c r="D11" s="9" t="n"/>
      <c r="E11" s="9" t="n"/>
      <c r="F11" s="9" t="n"/>
      <c r="G11" s="9" t="n"/>
      <c r="H11" s="9" t="n"/>
      <c r="I11" s="9" t="n"/>
      <c r="J11" s="10">
        <f>IF(A11="","",SUMPRODUCT(D11:I11,Configuração!$B$4:$B$9))</f>
        <v/>
      </c>
      <c r="K11" s="11">
        <f>IF(A11="","",ROUND(J11/Configuração!$B$11*Configuração!$B$12,1))</f>
        <v/>
      </c>
      <c r="L11" s="12">
        <f>IF(A11="","",IF(K11&gt;=9,"Excelente",IF(K11&gt;=7,"Bom",IF(K11&gt;=5,"Básico","Em desenvolvimento"))))</f>
        <v/>
      </c>
      <c r="M11" s="13" t="inlineStr"/>
    </row>
    <row r="12">
      <c r="A12" s="7" t="n"/>
      <c r="B12" s="7" t="n"/>
      <c r="C12" s="8">
        <f>IF(A12="","",$F$2)</f>
        <v/>
      </c>
      <c r="D12" s="9" t="n"/>
      <c r="E12" s="9" t="n"/>
      <c r="F12" s="9" t="n"/>
      <c r="G12" s="9" t="n"/>
      <c r="H12" s="9" t="n"/>
      <c r="I12" s="9" t="n"/>
      <c r="J12" s="10">
        <f>IF(A12="","",SUMPRODUCT(D12:I12,Configuração!$B$4:$B$9))</f>
        <v/>
      </c>
      <c r="K12" s="11">
        <f>IF(A12="","",ROUND(J12/Configuração!$B$11*Configuração!$B$12,1))</f>
        <v/>
      </c>
      <c r="L12" s="12">
        <f>IF(A12="","",IF(K12&gt;=9,"Excelente",IF(K12&gt;=7,"Bom",IF(K12&gt;=5,"Básico","Em desenvolvimento"))))</f>
        <v/>
      </c>
      <c r="M12" s="13" t="inlineStr"/>
    </row>
    <row r="13">
      <c r="A13" s="7" t="n"/>
      <c r="B13" s="7" t="n"/>
      <c r="C13" s="8">
        <f>IF(A13="","",$F$2)</f>
        <v/>
      </c>
      <c r="D13" s="9" t="n"/>
      <c r="E13" s="9" t="n"/>
      <c r="F13" s="9" t="n"/>
      <c r="G13" s="9" t="n"/>
      <c r="H13" s="9" t="n"/>
      <c r="I13" s="9" t="n"/>
      <c r="J13" s="10">
        <f>IF(A13="","",SUMPRODUCT(D13:I13,Configuração!$B$4:$B$9))</f>
        <v/>
      </c>
      <c r="K13" s="11">
        <f>IF(A13="","",ROUND(J13/Configuração!$B$11*Configuração!$B$12,1))</f>
        <v/>
      </c>
      <c r="L13" s="12">
        <f>IF(A13="","",IF(K13&gt;=9,"Excelente",IF(K13&gt;=7,"Bom",IF(K13&gt;=5,"Básico","Em desenvolvimento"))))</f>
        <v/>
      </c>
      <c r="M13" s="13" t="inlineStr"/>
    </row>
    <row r="14">
      <c r="A14" s="7" t="n"/>
      <c r="B14" s="7" t="n"/>
      <c r="C14" s="8">
        <f>IF(A14="","",$F$2)</f>
        <v/>
      </c>
      <c r="D14" s="9" t="n"/>
      <c r="E14" s="9" t="n"/>
      <c r="F14" s="9" t="n"/>
      <c r="G14" s="9" t="n"/>
      <c r="H14" s="9" t="n"/>
      <c r="I14" s="9" t="n"/>
      <c r="J14" s="10">
        <f>IF(A14="","",SUMPRODUCT(D14:I14,Configuração!$B$4:$B$9))</f>
        <v/>
      </c>
      <c r="K14" s="11">
        <f>IF(A14="","",ROUND(J14/Configuração!$B$11*Configuração!$B$12,1))</f>
        <v/>
      </c>
      <c r="L14" s="12">
        <f>IF(A14="","",IF(K14&gt;=9,"Excelente",IF(K14&gt;=7,"Bom",IF(K14&gt;=5,"Básico","Em desenvolvimento"))))</f>
        <v/>
      </c>
      <c r="M14" s="13" t="inlineStr"/>
    </row>
    <row r="15">
      <c r="A15" s="7" t="n"/>
      <c r="B15" s="7" t="n"/>
      <c r="C15" s="8">
        <f>IF(A15="","",$F$2)</f>
        <v/>
      </c>
      <c r="D15" s="9" t="n"/>
      <c r="E15" s="9" t="n"/>
      <c r="F15" s="9" t="n"/>
      <c r="G15" s="9" t="n"/>
      <c r="H15" s="9" t="n"/>
      <c r="I15" s="9" t="n"/>
      <c r="J15" s="10">
        <f>IF(A15="","",SUMPRODUCT(D15:I15,Configuração!$B$4:$B$9))</f>
        <v/>
      </c>
      <c r="K15" s="11">
        <f>IF(A15="","",ROUND(J15/Configuração!$B$11*Configuração!$B$12,1))</f>
        <v/>
      </c>
      <c r="L15" s="12">
        <f>IF(A15="","",IF(K15&gt;=9,"Excelente",IF(K15&gt;=7,"Bom",IF(K15&gt;=5,"Básico","Em desenvolvimento"))))</f>
        <v/>
      </c>
      <c r="M15" s="13" t="inlineStr"/>
    </row>
    <row r="16">
      <c r="A16" s="7" t="n"/>
      <c r="B16" s="7" t="n"/>
      <c r="C16" s="8">
        <f>IF(A16="","",$F$2)</f>
        <v/>
      </c>
      <c r="D16" s="9" t="n"/>
      <c r="E16" s="9" t="n"/>
      <c r="F16" s="9" t="n"/>
      <c r="G16" s="9" t="n"/>
      <c r="H16" s="9" t="n"/>
      <c r="I16" s="9" t="n"/>
      <c r="J16" s="10">
        <f>IF(A16="","",SUMPRODUCT(D16:I16,Configuração!$B$4:$B$9))</f>
        <v/>
      </c>
      <c r="K16" s="11">
        <f>IF(A16="","",ROUND(J16/Configuração!$B$11*Configuração!$B$12,1))</f>
        <v/>
      </c>
      <c r="L16" s="12">
        <f>IF(A16="","",IF(K16&gt;=9,"Excelente",IF(K16&gt;=7,"Bom",IF(K16&gt;=5,"Básico","Em desenvolvimento"))))</f>
        <v/>
      </c>
      <c r="M16" s="13" t="inlineStr"/>
    </row>
    <row r="17">
      <c r="A17" s="7" t="n"/>
      <c r="B17" s="7" t="n"/>
      <c r="C17" s="8">
        <f>IF(A17="","",$F$2)</f>
        <v/>
      </c>
      <c r="D17" s="9" t="n"/>
      <c r="E17" s="9" t="n"/>
      <c r="F17" s="9" t="n"/>
      <c r="G17" s="9" t="n"/>
      <c r="H17" s="9" t="n"/>
      <c r="I17" s="9" t="n"/>
      <c r="J17" s="10">
        <f>IF(A17="","",SUMPRODUCT(D17:I17,Configuração!$B$4:$B$9))</f>
        <v/>
      </c>
      <c r="K17" s="11">
        <f>IF(A17="","",ROUND(J17/Configuração!$B$11*Configuração!$B$12,1))</f>
        <v/>
      </c>
      <c r="L17" s="12">
        <f>IF(A17="","",IF(K17&gt;=9,"Excelente",IF(K17&gt;=7,"Bom",IF(K17&gt;=5,"Básico","Em desenvolvimento"))))</f>
        <v/>
      </c>
      <c r="M17" s="13" t="inlineStr"/>
    </row>
    <row r="18">
      <c r="A18" s="7" t="n"/>
      <c r="B18" s="7" t="n"/>
      <c r="C18" s="8">
        <f>IF(A18="","",$F$2)</f>
        <v/>
      </c>
      <c r="D18" s="9" t="n"/>
      <c r="E18" s="9" t="n"/>
      <c r="F18" s="9" t="n"/>
      <c r="G18" s="9" t="n"/>
      <c r="H18" s="9" t="n"/>
      <c r="I18" s="9" t="n"/>
      <c r="J18" s="10">
        <f>IF(A18="","",SUMPRODUCT(D18:I18,Configuração!$B$4:$B$9))</f>
        <v/>
      </c>
      <c r="K18" s="11">
        <f>IF(A18="","",ROUND(J18/Configuração!$B$11*Configuração!$B$12,1))</f>
        <v/>
      </c>
      <c r="L18" s="12">
        <f>IF(A18="","",IF(K18&gt;=9,"Excelente",IF(K18&gt;=7,"Bom",IF(K18&gt;=5,"Básico","Em desenvolvimento"))))</f>
        <v/>
      </c>
      <c r="M18" s="13" t="inlineStr"/>
    </row>
    <row r="19">
      <c r="A19" s="7" t="n"/>
      <c r="B19" s="7" t="n"/>
      <c r="C19" s="8">
        <f>IF(A19="","",$F$2)</f>
        <v/>
      </c>
      <c r="D19" s="9" t="n"/>
      <c r="E19" s="9" t="n"/>
      <c r="F19" s="9" t="n"/>
      <c r="G19" s="9" t="n"/>
      <c r="H19" s="9" t="n"/>
      <c r="I19" s="9" t="n"/>
      <c r="J19" s="10">
        <f>IF(A19="","",SUMPRODUCT(D19:I19,Configuração!$B$4:$B$9))</f>
        <v/>
      </c>
      <c r="K19" s="11">
        <f>IF(A19="","",ROUND(J19/Configuração!$B$11*Configuração!$B$12,1))</f>
        <v/>
      </c>
      <c r="L19" s="12">
        <f>IF(A19="","",IF(K19&gt;=9,"Excelente",IF(K19&gt;=7,"Bom",IF(K19&gt;=5,"Básico","Em desenvolvimento"))))</f>
        <v/>
      </c>
      <c r="M19" s="13" t="inlineStr"/>
    </row>
    <row r="20">
      <c r="A20" s="7" t="n"/>
      <c r="B20" s="7" t="n"/>
      <c r="C20" s="8">
        <f>IF(A20="","",$F$2)</f>
        <v/>
      </c>
      <c r="D20" s="9" t="n"/>
      <c r="E20" s="9" t="n"/>
      <c r="F20" s="9" t="n"/>
      <c r="G20" s="9" t="n"/>
      <c r="H20" s="9" t="n"/>
      <c r="I20" s="9" t="n"/>
      <c r="J20" s="10">
        <f>IF(A20="","",SUMPRODUCT(D20:I20,Configuração!$B$4:$B$9))</f>
        <v/>
      </c>
      <c r="K20" s="11">
        <f>IF(A20="","",ROUND(J20/Configuração!$B$11*Configuração!$B$12,1))</f>
        <v/>
      </c>
      <c r="L20" s="12">
        <f>IF(A20="","",IF(K20&gt;=9,"Excelente",IF(K20&gt;=7,"Bom",IF(K20&gt;=5,"Básico","Em desenvolvimento"))))</f>
        <v/>
      </c>
      <c r="M20" s="13" t="inlineStr"/>
    </row>
    <row r="21">
      <c r="A21" s="7" t="n"/>
      <c r="B21" s="7" t="n"/>
      <c r="C21" s="8">
        <f>IF(A21="","",$F$2)</f>
        <v/>
      </c>
      <c r="D21" s="9" t="n"/>
      <c r="E21" s="9" t="n"/>
      <c r="F21" s="9" t="n"/>
      <c r="G21" s="9" t="n"/>
      <c r="H21" s="9" t="n"/>
      <c r="I21" s="9" t="n"/>
      <c r="J21" s="10">
        <f>IF(A21="","",SUMPRODUCT(D21:I21,Configuração!$B$4:$B$9))</f>
        <v/>
      </c>
      <c r="K21" s="11">
        <f>IF(A21="","",ROUND(J21/Configuração!$B$11*Configuração!$B$12,1))</f>
        <v/>
      </c>
      <c r="L21" s="12">
        <f>IF(A21="","",IF(K21&gt;=9,"Excelente",IF(K21&gt;=7,"Bom",IF(K21&gt;=5,"Básico","Em desenvolvimento"))))</f>
        <v/>
      </c>
      <c r="M21" s="13" t="inlineStr"/>
    </row>
    <row r="22">
      <c r="A22" s="7" t="n"/>
      <c r="B22" s="7" t="n"/>
      <c r="C22" s="8">
        <f>IF(A22="","",$F$2)</f>
        <v/>
      </c>
      <c r="D22" s="9" t="n"/>
      <c r="E22" s="9" t="n"/>
      <c r="F22" s="9" t="n"/>
      <c r="G22" s="9" t="n"/>
      <c r="H22" s="9" t="n"/>
      <c r="I22" s="9" t="n"/>
      <c r="J22" s="10">
        <f>IF(A22="","",SUMPRODUCT(D22:I22,Configuração!$B$4:$B$9))</f>
        <v/>
      </c>
      <c r="K22" s="11">
        <f>IF(A22="","",ROUND(J22/Configuração!$B$11*Configuração!$B$12,1))</f>
        <v/>
      </c>
      <c r="L22" s="12">
        <f>IF(A22="","",IF(K22&gt;=9,"Excelente",IF(K22&gt;=7,"Bom",IF(K22&gt;=5,"Básico","Em desenvolvimento"))))</f>
        <v/>
      </c>
      <c r="M22" s="13" t="inlineStr"/>
    </row>
    <row r="23">
      <c r="A23" s="7" t="n"/>
      <c r="B23" s="7" t="n"/>
      <c r="C23" s="8">
        <f>IF(A23="","",$F$2)</f>
        <v/>
      </c>
      <c r="D23" s="9" t="n"/>
      <c r="E23" s="9" t="n"/>
      <c r="F23" s="9" t="n"/>
      <c r="G23" s="9" t="n"/>
      <c r="H23" s="9" t="n"/>
      <c r="I23" s="9" t="n"/>
      <c r="J23" s="10">
        <f>IF(A23="","",SUMPRODUCT(D23:I23,Configuração!$B$4:$B$9))</f>
        <v/>
      </c>
      <c r="K23" s="11">
        <f>IF(A23="","",ROUND(J23/Configuração!$B$11*Configuração!$B$12,1))</f>
        <v/>
      </c>
      <c r="L23" s="12">
        <f>IF(A23="","",IF(K23&gt;=9,"Excelente",IF(K23&gt;=7,"Bom",IF(K23&gt;=5,"Básico","Em desenvolvimento"))))</f>
        <v/>
      </c>
      <c r="M23" s="13" t="inlineStr"/>
    </row>
    <row r="24">
      <c r="A24" s="7" t="n"/>
      <c r="B24" s="7" t="n"/>
      <c r="C24" s="8">
        <f>IF(A24="","",$F$2)</f>
        <v/>
      </c>
      <c r="D24" s="9" t="n"/>
      <c r="E24" s="9" t="n"/>
      <c r="F24" s="9" t="n"/>
      <c r="G24" s="9" t="n"/>
      <c r="H24" s="9" t="n"/>
      <c r="I24" s="9" t="n"/>
      <c r="J24" s="10">
        <f>IF(A24="","",SUMPRODUCT(D24:I24,Configuração!$B$4:$B$9))</f>
        <v/>
      </c>
      <c r="K24" s="11">
        <f>IF(A24="","",ROUND(J24/Configuração!$B$11*Configuração!$B$12,1))</f>
        <v/>
      </c>
      <c r="L24" s="12">
        <f>IF(A24="","",IF(K24&gt;=9,"Excelente",IF(K24&gt;=7,"Bom",IF(K24&gt;=5,"Básico","Em desenvolvimento"))))</f>
        <v/>
      </c>
      <c r="M24" s="13" t="inlineStr"/>
    </row>
    <row r="25">
      <c r="A25" s="7" t="n"/>
      <c r="B25" s="7" t="n"/>
      <c r="C25" s="8">
        <f>IF(A25="","",$F$2)</f>
        <v/>
      </c>
      <c r="D25" s="9" t="n"/>
      <c r="E25" s="9" t="n"/>
      <c r="F25" s="9" t="n"/>
      <c r="G25" s="9" t="n"/>
      <c r="H25" s="9" t="n"/>
      <c r="I25" s="9" t="n"/>
      <c r="J25" s="10">
        <f>IF(A25="","",SUMPRODUCT(D25:I25,Configuração!$B$4:$B$9))</f>
        <v/>
      </c>
      <c r="K25" s="11">
        <f>IF(A25="","",ROUND(J25/Configuração!$B$11*Configuração!$B$12,1))</f>
        <v/>
      </c>
      <c r="L25" s="12">
        <f>IF(A25="","",IF(K25&gt;=9,"Excelente",IF(K25&gt;=7,"Bom",IF(K25&gt;=5,"Básico","Em desenvolvimento"))))</f>
        <v/>
      </c>
      <c r="M25" s="13" t="inlineStr"/>
    </row>
    <row r="26">
      <c r="A26" s="7" t="n"/>
      <c r="B26" s="7" t="n"/>
      <c r="C26" s="8">
        <f>IF(A26="","",$F$2)</f>
        <v/>
      </c>
      <c r="D26" s="9" t="n"/>
      <c r="E26" s="9" t="n"/>
      <c r="F26" s="9" t="n"/>
      <c r="G26" s="9" t="n"/>
      <c r="H26" s="9" t="n"/>
      <c r="I26" s="9" t="n"/>
      <c r="J26" s="10">
        <f>IF(A26="","",SUMPRODUCT(D26:I26,Configuração!$B$4:$B$9))</f>
        <v/>
      </c>
      <c r="K26" s="11">
        <f>IF(A26="","",ROUND(J26/Configuração!$B$11*Configuração!$B$12,1))</f>
        <v/>
      </c>
      <c r="L26" s="12">
        <f>IF(A26="","",IF(K26&gt;=9,"Excelente",IF(K26&gt;=7,"Bom",IF(K26&gt;=5,"Básico","Em desenvolvimento"))))</f>
        <v/>
      </c>
      <c r="M26" s="13" t="inlineStr"/>
    </row>
    <row r="27">
      <c r="A27" s="7" t="n"/>
      <c r="B27" s="7" t="n"/>
      <c r="C27" s="8">
        <f>IF(A27="","",$F$2)</f>
        <v/>
      </c>
      <c r="D27" s="9" t="n"/>
      <c r="E27" s="9" t="n"/>
      <c r="F27" s="9" t="n"/>
      <c r="G27" s="9" t="n"/>
      <c r="H27" s="9" t="n"/>
      <c r="I27" s="9" t="n"/>
      <c r="J27" s="10">
        <f>IF(A27="","",SUMPRODUCT(D27:I27,Configuração!$B$4:$B$9))</f>
        <v/>
      </c>
      <c r="K27" s="11">
        <f>IF(A27="","",ROUND(J27/Configuração!$B$11*Configuração!$B$12,1))</f>
        <v/>
      </c>
      <c r="L27" s="12">
        <f>IF(A27="","",IF(K27&gt;=9,"Excelente",IF(K27&gt;=7,"Bom",IF(K27&gt;=5,"Básico","Em desenvolvimento"))))</f>
        <v/>
      </c>
      <c r="M27" s="13" t="inlineStr"/>
    </row>
    <row r="28">
      <c r="A28" s="7" t="n"/>
      <c r="B28" s="7" t="n"/>
      <c r="C28" s="8">
        <f>IF(A28="","",$F$2)</f>
        <v/>
      </c>
      <c r="D28" s="9" t="n"/>
      <c r="E28" s="9" t="n"/>
      <c r="F28" s="9" t="n"/>
      <c r="G28" s="9" t="n"/>
      <c r="H28" s="9" t="n"/>
      <c r="I28" s="9" t="n"/>
      <c r="J28" s="10">
        <f>IF(A28="","",SUMPRODUCT(D28:I28,Configuração!$B$4:$B$9))</f>
        <v/>
      </c>
      <c r="K28" s="11">
        <f>IF(A28="","",ROUND(J28/Configuração!$B$11*Configuração!$B$12,1))</f>
        <v/>
      </c>
      <c r="L28" s="12">
        <f>IF(A28="","",IF(K28&gt;=9,"Excelente",IF(K28&gt;=7,"Bom",IF(K28&gt;=5,"Básico","Em desenvolvimento"))))</f>
        <v/>
      </c>
      <c r="M28" s="13" t="inlineStr"/>
    </row>
    <row r="29">
      <c r="A29" s="7" t="n"/>
      <c r="B29" s="7" t="n"/>
      <c r="C29" s="8">
        <f>IF(A29="","",$F$2)</f>
        <v/>
      </c>
      <c r="D29" s="9" t="n"/>
      <c r="E29" s="9" t="n"/>
      <c r="F29" s="9" t="n"/>
      <c r="G29" s="9" t="n"/>
      <c r="H29" s="9" t="n"/>
      <c r="I29" s="9" t="n"/>
      <c r="J29" s="10">
        <f>IF(A29="","",SUMPRODUCT(D29:I29,Configuração!$B$4:$B$9))</f>
        <v/>
      </c>
      <c r="K29" s="11">
        <f>IF(A29="","",ROUND(J29/Configuração!$B$11*Configuração!$B$12,1))</f>
        <v/>
      </c>
      <c r="L29" s="12">
        <f>IF(A29="","",IF(K29&gt;=9,"Excelente",IF(K29&gt;=7,"Bom",IF(K29&gt;=5,"Básico","Em desenvolvimento"))))</f>
        <v/>
      </c>
      <c r="M29" s="13" t="inlineStr"/>
    </row>
    <row r="30">
      <c r="A30" s="7" t="n"/>
      <c r="B30" s="7" t="n"/>
      <c r="C30" s="8">
        <f>IF(A30="","",$F$2)</f>
        <v/>
      </c>
      <c r="D30" s="9" t="n"/>
      <c r="E30" s="9" t="n"/>
      <c r="F30" s="9" t="n"/>
      <c r="G30" s="9" t="n"/>
      <c r="H30" s="9" t="n"/>
      <c r="I30" s="9" t="n"/>
      <c r="J30" s="10">
        <f>IF(A30="","",SUMPRODUCT(D30:I30,Configuração!$B$4:$B$9))</f>
        <v/>
      </c>
      <c r="K30" s="11">
        <f>IF(A30="","",ROUND(J30/Configuração!$B$11*Configuração!$B$12,1))</f>
        <v/>
      </c>
      <c r="L30" s="12">
        <f>IF(A30="","",IF(K30&gt;=9,"Excelente",IF(K30&gt;=7,"Bom",IF(K30&gt;=5,"Básico","Em desenvolvimento"))))</f>
        <v/>
      </c>
      <c r="M30" s="13" t="inlineStr"/>
    </row>
    <row r="31">
      <c r="A31" s="7" t="n"/>
      <c r="B31" s="7" t="n"/>
      <c r="C31" s="8">
        <f>IF(A31="","",$F$2)</f>
        <v/>
      </c>
      <c r="D31" s="9" t="n"/>
      <c r="E31" s="9" t="n"/>
      <c r="F31" s="9" t="n"/>
      <c r="G31" s="9" t="n"/>
      <c r="H31" s="9" t="n"/>
      <c r="I31" s="9" t="n"/>
      <c r="J31" s="10">
        <f>IF(A31="","",SUMPRODUCT(D31:I31,Configuração!$B$4:$B$9))</f>
        <v/>
      </c>
      <c r="K31" s="11">
        <f>IF(A31="","",ROUND(J31/Configuração!$B$11*Configuração!$B$12,1))</f>
        <v/>
      </c>
      <c r="L31" s="12">
        <f>IF(A31="","",IF(K31&gt;=9,"Excelente",IF(K31&gt;=7,"Bom",IF(K31&gt;=5,"Básico","Em desenvolvimento"))))</f>
        <v/>
      </c>
      <c r="M31" s="13" t="inlineStr"/>
    </row>
    <row r="32">
      <c r="A32" s="7" t="n"/>
      <c r="B32" s="7" t="n"/>
      <c r="C32" s="8">
        <f>IF(A32="","",$F$2)</f>
        <v/>
      </c>
      <c r="D32" s="9" t="n"/>
      <c r="E32" s="9" t="n"/>
      <c r="F32" s="9" t="n"/>
      <c r="G32" s="9" t="n"/>
      <c r="H32" s="9" t="n"/>
      <c r="I32" s="9" t="n"/>
      <c r="J32" s="10">
        <f>IF(A32="","",SUMPRODUCT(D32:I32,Configuração!$B$4:$B$9))</f>
        <v/>
      </c>
      <c r="K32" s="11">
        <f>IF(A32="","",ROUND(J32/Configuração!$B$11*Configuração!$B$12,1))</f>
        <v/>
      </c>
      <c r="L32" s="12">
        <f>IF(A32="","",IF(K32&gt;=9,"Excelente",IF(K32&gt;=7,"Bom",IF(K32&gt;=5,"Básico","Em desenvolvimento"))))</f>
        <v/>
      </c>
      <c r="M32" s="13" t="inlineStr"/>
    </row>
    <row r="33">
      <c r="A33" s="7" t="n"/>
      <c r="B33" s="7" t="n"/>
      <c r="C33" s="8">
        <f>IF(A33="","",$F$2)</f>
        <v/>
      </c>
      <c r="D33" s="9" t="n"/>
      <c r="E33" s="9" t="n"/>
      <c r="F33" s="9" t="n"/>
      <c r="G33" s="9" t="n"/>
      <c r="H33" s="9" t="n"/>
      <c r="I33" s="9" t="n"/>
      <c r="J33" s="10">
        <f>IF(A33="","",SUMPRODUCT(D33:I33,Configuração!$B$4:$B$9))</f>
        <v/>
      </c>
      <c r="K33" s="11">
        <f>IF(A33="","",ROUND(J33/Configuração!$B$11*Configuração!$B$12,1))</f>
        <v/>
      </c>
      <c r="L33" s="12">
        <f>IF(A33="","",IF(K33&gt;=9,"Excelente",IF(K33&gt;=7,"Bom",IF(K33&gt;=5,"Básico","Em desenvolvimento"))))</f>
        <v/>
      </c>
      <c r="M33" s="13" t="inlineStr"/>
    </row>
    <row r="34">
      <c r="A34" s="7" t="n"/>
      <c r="B34" s="7" t="n"/>
      <c r="C34" s="8">
        <f>IF(A34="","",$F$2)</f>
        <v/>
      </c>
      <c r="D34" s="9" t="n"/>
      <c r="E34" s="9" t="n"/>
      <c r="F34" s="9" t="n"/>
      <c r="G34" s="9" t="n"/>
      <c r="H34" s="9" t="n"/>
      <c r="I34" s="9" t="n"/>
      <c r="J34" s="10">
        <f>IF(A34="","",SUMPRODUCT(D34:I34,Configuração!$B$4:$B$9))</f>
        <v/>
      </c>
      <c r="K34" s="11">
        <f>IF(A34="","",ROUND(J34/Configuração!$B$11*Configuração!$B$12,1))</f>
        <v/>
      </c>
      <c r="L34" s="12">
        <f>IF(A34="","",IF(K34&gt;=9,"Excelente",IF(K34&gt;=7,"Bom",IF(K34&gt;=5,"Básico","Em desenvolvimento"))))</f>
        <v/>
      </c>
      <c r="M34" s="13" t="inlineStr"/>
    </row>
    <row r="35">
      <c r="A35" s="7" t="n"/>
      <c r="B35" s="7" t="n"/>
      <c r="C35" s="8">
        <f>IF(A35="","",$F$2)</f>
        <v/>
      </c>
      <c r="D35" s="9" t="n"/>
      <c r="E35" s="9" t="n"/>
      <c r="F35" s="9" t="n"/>
      <c r="G35" s="9" t="n"/>
      <c r="H35" s="9" t="n"/>
      <c r="I35" s="9" t="n"/>
      <c r="J35" s="10">
        <f>IF(A35="","",SUMPRODUCT(D35:I35,Configuração!$B$4:$B$9))</f>
        <v/>
      </c>
      <c r="K35" s="11">
        <f>IF(A35="","",ROUND(J35/Configuração!$B$11*Configuração!$B$12,1))</f>
        <v/>
      </c>
      <c r="L35" s="12">
        <f>IF(A35="","",IF(K35&gt;=9,"Excelente",IF(K35&gt;=7,"Bom",IF(K35&gt;=5,"Básico","Em desenvolvimento"))))</f>
        <v/>
      </c>
      <c r="M35" s="13" t="inlineStr"/>
    </row>
    <row r="36">
      <c r="A36" s="7" t="n"/>
      <c r="B36" s="7" t="n"/>
      <c r="C36" s="8">
        <f>IF(A36="","",$F$2)</f>
        <v/>
      </c>
      <c r="D36" s="9" t="n"/>
      <c r="E36" s="9" t="n"/>
      <c r="F36" s="9" t="n"/>
      <c r="G36" s="9" t="n"/>
      <c r="H36" s="9" t="n"/>
      <c r="I36" s="9" t="n"/>
      <c r="J36" s="10">
        <f>IF(A36="","",SUMPRODUCT(D36:I36,Configuração!$B$4:$B$9))</f>
        <v/>
      </c>
      <c r="K36" s="11">
        <f>IF(A36="","",ROUND(J36/Configuração!$B$11*Configuração!$B$12,1))</f>
        <v/>
      </c>
      <c r="L36" s="12">
        <f>IF(A36="","",IF(K36&gt;=9,"Excelente",IF(K36&gt;=7,"Bom",IF(K36&gt;=5,"Básico","Em desenvolvimento"))))</f>
        <v/>
      </c>
      <c r="M36" s="13" t="inlineStr"/>
    </row>
    <row r="37">
      <c r="A37" s="7" t="n"/>
      <c r="B37" s="7" t="n"/>
      <c r="C37" s="8">
        <f>IF(A37="","",$F$2)</f>
        <v/>
      </c>
      <c r="D37" s="9" t="n"/>
      <c r="E37" s="9" t="n"/>
      <c r="F37" s="9" t="n"/>
      <c r="G37" s="9" t="n"/>
      <c r="H37" s="9" t="n"/>
      <c r="I37" s="9" t="n"/>
      <c r="J37" s="10">
        <f>IF(A37="","",SUMPRODUCT(D37:I37,Configuração!$B$4:$B$9))</f>
        <v/>
      </c>
      <c r="K37" s="11">
        <f>IF(A37="","",ROUND(J37/Configuração!$B$11*Configuração!$B$12,1))</f>
        <v/>
      </c>
      <c r="L37" s="12">
        <f>IF(A37="","",IF(K37&gt;=9,"Excelente",IF(K37&gt;=7,"Bom",IF(K37&gt;=5,"Básico","Em desenvolvimento"))))</f>
        <v/>
      </c>
      <c r="M37" s="13" t="inlineStr"/>
    </row>
    <row r="38">
      <c r="A38" s="7" t="n"/>
      <c r="B38" s="7" t="n"/>
      <c r="C38" s="8">
        <f>IF(A38="","",$F$2)</f>
        <v/>
      </c>
      <c r="D38" s="9" t="n"/>
      <c r="E38" s="9" t="n"/>
      <c r="F38" s="9" t="n"/>
      <c r="G38" s="9" t="n"/>
      <c r="H38" s="9" t="n"/>
      <c r="I38" s="9" t="n"/>
      <c r="J38" s="10">
        <f>IF(A38="","",SUMPRODUCT(D38:I38,Configuração!$B$4:$B$9))</f>
        <v/>
      </c>
      <c r="K38" s="11">
        <f>IF(A38="","",ROUND(J38/Configuração!$B$11*Configuração!$B$12,1))</f>
        <v/>
      </c>
      <c r="L38" s="12">
        <f>IF(A38="","",IF(K38&gt;=9,"Excelente",IF(K38&gt;=7,"Bom",IF(K38&gt;=5,"Básico","Em desenvolvimento"))))</f>
        <v/>
      </c>
      <c r="M38" s="13" t="inlineStr"/>
    </row>
    <row r="39">
      <c r="A39" s="7" t="n"/>
      <c r="B39" s="7" t="n"/>
      <c r="C39" s="8">
        <f>IF(A39="","",$F$2)</f>
        <v/>
      </c>
      <c r="D39" s="9" t="n"/>
      <c r="E39" s="9" t="n"/>
      <c r="F39" s="9" t="n"/>
      <c r="G39" s="9" t="n"/>
      <c r="H39" s="9" t="n"/>
      <c r="I39" s="9" t="n"/>
      <c r="J39" s="10">
        <f>IF(A39="","",SUMPRODUCT(D39:I39,Configuração!$B$4:$B$9))</f>
        <v/>
      </c>
      <c r="K39" s="11">
        <f>IF(A39="","",ROUND(J39/Configuração!$B$11*Configuração!$B$12,1))</f>
        <v/>
      </c>
      <c r="L39" s="12">
        <f>IF(A39="","",IF(K39&gt;=9,"Excelente",IF(K39&gt;=7,"Bom",IF(K39&gt;=5,"Básico","Em desenvolvimento"))))</f>
        <v/>
      </c>
      <c r="M39" s="13" t="inlineStr"/>
    </row>
    <row r="40">
      <c r="A40" s="7" t="n"/>
      <c r="B40" s="7" t="n"/>
      <c r="C40" s="8">
        <f>IF(A40="","",$F$2)</f>
        <v/>
      </c>
      <c r="D40" s="9" t="n"/>
      <c r="E40" s="9" t="n"/>
      <c r="F40" s="9" t="n"/>
      <c r="G40" s="9" t="n"/>
      <c r="H40" s="9" t="n"/>
      <c r="I40" s="9" t="n"/>
      <c r="J40" s="10">
        <f>IF(A40="","",SUMPRODUCT(D40:I40,Configuração!$B$4:$B$9))</f>
        <v/>
      </c>
      <c r="K40" s="11">
        <f>IF(A40="","",ROUND(J40/Configuração!$B$11*Configuração!$B$12,1))</f>
        <v/>
      </c>
      <c r="L40" s="12">
        <f>IF(A40="","",IF(K40&gt;=9,"Excelente",IF(K40&gt;=7,"Bom",IF(K40&gt;=5,"Básico","Em desenvolvimento"))))</f>
        <v/>
      </c>
      <c r="M40" s="13" t="inlineStr"/>
    </row>
    <row r="41">
      <c r="A41" s="7" t="n"/>
      <c r="B41" s="7" t="n"/>
      <c r="C41" s="8">
        <f>IF(A41="","",$F$2)</f>
        <v/>
      </c>
      <c r="D41" s="9" t="n"/>
      <c r="E41" s="9" t="n"/>
      <c r="F41" s="9" t="n"/>
      <c r="G41" s="9" t="n"/>
      <c r="H41" s="9" t="n"/>
      <c r="I41" s="9" t="n"/>
      <c r="J41" s="10">
        <f>IF(A41="","",SUMPRODUCT(D41:I41,Configuração!$B$4:$B$9))</f>
        <v/>
      </c>
      <c r="K41" s="11">
        <f>IF(A41="","",ROUND(J41/Configuração!$B$11*Configuração!$B$12,1))</f>
        <v/>
      </c>
      <c r="L41" s="12">
        <f>IF(A41="","",IF(K41&gt;=9,"Excelente",IF(K41&gt;=7,"Bom",IF(K41&gt;=5,"Básico","Em desenvolvimento"))))</f>
        <v/>
      </c>
      <c r="M41" s="13" t="inlineStr"/>
    </row>
    <row r="42">
      <c r="A42" s="7" t="n"/>
      <c r="B42" s="7" t="n"/>
      <c r="C42" s="8">
        <f>IF(A42="","",$F$2)</f>
        <v/>
      </c>
      <c r="D42" s="9" t="n"/>
      <c r="E42" s="9" t="n"/>
      <c r="F42" s="9" t="n"/>
      <c r="G42" s="9" t="n"/>
      <c r="H42" s="9" t="n"/>
      <c r="I42" s="9" t="n"/>
      <c r="J42" s="10">
        <f>IF(A42="","",SUMPRODUCT(D42:I42,Configuração!$B$4:$B$9))</f>
        <v/>
      </c>
      <c r="K42" s="11">
        <f>IF(A42="","",ROUND(J42/Configuração!$B$11*Configuração!$B$12,1))</f>
        <v/>
      </c>
      <c r="L42" s="12">
        <f>IF(A42="","",IF(K42&gt;=9,"Excelente",IF(K42&gt;=7,"Bom",IF(K42&gt;=5,"Básico","Em desenvolvimento"))))</f>
        <v/>
      </c>
      <c r="M42" s="13" t="inlineStr"/>
    </row>
    <row r="43">
      <c r="A43" s="7" t="n"/>
      <c r="B43" s="7" t="n"/>
      <c r="C43" s="8">
        <f>IF(A43="","",$F$2)</f>
        <v/>
      </c>
      <c r="D43" s="9" t="n"/>
      <c r="E43" s="9" t="n"/>
      <c r="F43" s="9" t="n"/>
      <c r="G43" s="9" t="n"/>
      <c r="H43" s="9" t="n"/>
      <c r="I43" s="9" t="n"/>
      <c r="J43" s="10">
        <f>IF(A43="","",SUMPRODUCT(D43:I43,Configuração!$B$4:$B$9))</f>
        <v/>
      </c>
      <c r="K43" s="11">
        <f>IF(A43="","",ROUND(J43/Configuração!$B$11*Configuração!$B$12,1))</f>
        <v/>
      </c>
      <c r="L43" s="12">
        <f>IF(A43="","",IF(K43&gt;=9,"Excelente",IF(K43&gt;=7,"Bom",IF(K43&gt;=5,"Básico","Em desenvolvimento"))))</f>
        <v/>
      </c>
      <c r="M43" s="13" t="inlineStr"/>
    </row>
    <row r="44">
      <c r="A44" s="7" t="n"/>
      <c r="B44" s="7" t="n"/>
      <c r="C44" s="8">
        <f>IF(A44="","",$F$2)</f>
        <v/>
      </c>
      <c r="D44" s="9" t="n"/>
      <c r="E44" s="9" t="n"/>
      <c r="F44" s="9" t="n"/>
      <c r="G44" s="9" t="n"/>
      <c r="H44" s="9" t="n"/>
      <c r="I44" s="9" t="n"/>
      <c r="J44" s="10">
        <f>IF(A44="","",SUMPRODUCT(D44:I44,Configuração!$B$4:$B$9))</f>
        <v/>
      </c>
      <c r="K44" s="11">
        <f>IF(A44="","",ROUND(J44/Configuração!$B$11*Configuração!$B$12,1))</f>
        <v/>
      </c>
      <c r="L44" s="12">
        <f>IF(A44="","",IF(K44&gt;=9,"Excelente",IF(K44&gt;=7,"Bom",IF(K44&gt;=5,"Básico","Em desenvolvimento"))))</f>
        <v/>
      </c>
      <c r="M44" s="13" t="inlineStr"/>
    </row>
    <row r="45">
      <c r="A45" s="7" t="n"/>
      <c r="B45" s="7" t="n"/>
      <c r="C45" s="8">
        <f>IF(A45="","",$F$2)</f>
        <v/>
      </c>
      <c r="D45" s="9" t="n"/>
      <c r="E45" s="9" t="n"/>
      <c r="F45" s="9" t="n"/>
      <c r="G45" s="9" t="n"/>
      <c r="H45" s="9" t="n"/>
      <c r="I45" s="9" t="n"/>
      <c r="J45" s="10">
        <f>IF(A45="","",SUMPRODUCT(D45:I45,Configuração!$B$4:$B$9))</f>
        <v/>
      </c>
      <c r="K45" s="11">
        <f>IF(A45="","",ROUND(J45/Configuração!$B$11*Configuração!$B$12,1))</f>
        <v/>
      </c>
      <c r="L45" s="12">
        <f>IF(A45="","",IF(K45&gt;=9,"Excelente",IF(K45&gt;=7,"Bom",IF(K45&gt;=5,"Básico","Em desenvolvimento"))))</f>
        <v/>
      </c>
      <c r="M45" s="13" t="inlineStr"/>
    </row>
    <row r="46">
      <c r="A46" s="7" t="n"/>
      <c r="B46" s="7" t="n"/>
      <c r="C46" s="8">
        <f>IF(A46="","",$F$2)</f>
        <v/>
      </c>
      <c r="D46" s="9" t="n"/>
      <c r="E46" s="9" t="n"/>
      <c r="F46" s="9" t="n"/>
      <c r="G46" s="9" t="n"/>
      <c r="H46" s="9" t="n"/>
      <c r="I46" s="9" t="n"/>
      <c r="J46" s="10">
        <f>IF(A46="","",SUMPRODUCT(D46:I46,Configuração!$B$4:$B$9))</f>
        <v/>
      </c>
      <c r="K46" s="11">
        <f>IF(A46="","",ROUND(J46/Configuração!$B$11*Configuração!$B$12,1))</f>
        <v/>
      </c>
      <c r="L46" s="12">
        <f>IF(A46="","",IF(K46&gt;=9,"Excelente",IF(K46&gt;=7,"Bom",IF(K46&gt;=5,"Básico","Em desenvolvimento"))))</f>
        <v/>
      </c>
      <c r="M46" s="13" t="inlineStr"/>
    </row>
    <row r="47">
      <c r="A47" s="7" t="n"/>
      <c r="B47" s="7" t="n"/>
      <c r="C47" s="8">
        <f>IF(A47="","",$F$2)</f>
        <v/>
      </c>
      <c r="D47" s="9" t="n"/>
      <c r="E47" s="9" t="n"/>
      <c r="F47" s="9" t="n"/>
      <c r="G47" s="9" t="n"/>
      <c r="H47" s="9" t="n"/>
      <c r="I47" s="9" t="n"/>
      <c r="J47" s="10">
        <f>IF(A47="","",SUMPRODUCT(D47:I47,Configuração!$B$4:$B$9))</f>
        <v/>
      </c>
      <c r="K47" s="11">
        <f>IF(A47="","",ROUND(J47/Configuração!$B$11*Configuração!$B$12,1))</f>
        <v/>
      </c>
      <c r="L47" s="12">
        <f>IF(A47="","",IF(K47&gt;=9,"Excelente",IF(K47&gt;=7,"Bom",IF(K47&gt;=5,"Básico","Em desenvolvimento"))))</f>
        <v/>
      </c>
      <c r="M47" s="13" t="inlineStr"/>
    </row>
    <row r="48">
      <c r="A48" s="7" t="n"/>
      <c r="B48" s="7" t="n"/>
      <c r="C48" s="8">
        <f>IF(A48="","",$F$2)</f>
        <v/>
      </c>
      <c r="D48" s="9" t="n"/>
      <c r="E48" s="9" t="n"/>
      <c r="F48" s="9" t="n"/>
      <c r="G48" s="9" t="n"/>
      <c r="H48" s="9" t="n"/>
      <c r="I48" s="9" t="n"/>
      <c r="J48" s="10">
        <f>IF(A48="","",SUMPRODUCT(D48:I48,Configuração!$B$4:$B$9))</f>
        <v/>
      </c>
      <c r="K48" s="11">
        <f>IF(A48="","",ROUND(J48/Configuração!$B$11*Configuração!$B$12,1))</f>
        <v/>
      </c>
      <c r="L48" s="12">
        <f>IF(A48="","",IF(K48&gt;=9,"Excelente",IF(K48&gt;=7,"Bom",IF(K48&gt;=5,"Básico","Em desenvolvimento"))))</f>
        <v/>
      </c>
      <c r="M48" s="13" t="inlineStr"/>
    </row>
    <row r="49">
      <c r="A49" s="7" t="n"/>
      <c r="B49" s="7" t="n"/>
      <c r="C49" s="8">
        <f>IF(A49="","",$F$2)</f>
        <v/>
      </c>
      <c r="D49" s="9" t="n"/>
      <c r="E49" s="9" t="n"/>
      <c r="F49" s="9" t="n"/>
      <c r="G49" s="9" t="n"/>
      <c r="H49" s="9" t="n"/>
      <c r="I49" s="9" t="n"/>
      <c r="J49" s="10">
        <f>IF(A49="","",SUMPRODUCT(D49:I49,Configuração!$B$4:$B$9))</f>
        <v/>
      </c>
      <c r="K49" s="11">
        <f>IF(A49="","",ROUND(J49/Configuração!$B$11*Configuração!$B$12,1))</f>
        <v/>
      </c>
      <c r="L49" s="12">
        <f>IF(A49="","",IF(K49&gt;=9,"Excelente",IF(K49&gt;=7,"Bom",IF(K49&gt;=5,"Básico","Em desenvolvimento"))))</f>
        <v/>
      </c>
      <c r="M49" s="13" t="inlineStr"/>
    </row>
    <row r="50">
      <c r="A50" s="7" t="n"/>
      <c r="B50" s="7" t="n"/>
      <c r="C50" s="8">
        <f>IF(A50="","",$F$2)</f>
        <v/>
      </c>
      <c r="D50" s="9" t="n"/>
      <c r="E50" s="9" t="n"/>
      <c r="F50" s="9" t="n"/>
      <c r="G50" s="9" t="n"/>
      <c r="H50" s="9" t="n"/>
      <c r="I50" s="9" t="n"/>
      <c r="J50" s="10">
        <f>IF(A50="","",SUMPRODUCT(D50:I50,Configuração!$B$4:$B$9))</f>
        <v/>
      </c>
      <c r="K50" s="11">
        <f>IF(A50="","",ROUND(J50/Configuração!$B$11*Configuração!$B$12,1))</f>
        <v/>
      </c>
      <c r="L50" s="12">
        <f>IF(A50="","",IF(K50&gt;=9,"Excelente",IF(K50&gt;=7,"Bom",IF(K50&gt;=5,"Básico","Em desenvolvimento"))))</f>
        <v/>
      </c>
      <c r="M50" s="13" t="inlineStr"/>
    </row>
    <row r="51">
      <c r="A51" s="7" t="n"/>
      <c r="B51" s="7" t="n"/>
      <c r="C51" s="8">
        <f>IF(A51="","",$F$2)</f>
        <v/>
      </c>
      <c r="D51" s="9" t="n"/>
      <c r="E51" s="9" t="n"/>
      <c r="F51" s="9" t="n"/>
      <c r="G51" s="9" t="n"/>
      <c r="H51" s="9" t="n"/>
      <c r="I51" s="9" t="n"/>
      <c r="J51" s="10">
        <f>IF(A51="","",SUMPRODUCT(D51:I51,Configuração!$B$4:$B$9))</f>
        <v/>
      </c>
      <c r="K51" s="11">
        <f>IF(A51="","",ROUND(J51/Configuração!$B$11*Configuração!$B$12,1))</f>
        <v/>
      </c>
      <c r="L51" s="12">
        <f>IF(A51="","",IF(K51&gt;=9,"Excelente",IF(K51&gt;=7,"Bom",IF(K51&gt;=5,"Básico","Em desenvolvimento"))))</f>
        <v/>
      </c>
      <c r="M51" s="13" t="inlineStr"/>
    </row>
    <row r="52">
      <c r="A52" s="7" t="n"/>
      <c r="B52" s="7" t="n"/>
      <c r="C52" s="8">
        <f>IF(A52="","",$F$2)</f>
        <v/>
      </c>
      <c r="D52" s="9" t="n"/>
      <c r="E52" s="9" t="n"/>
      <c r="F52" s="9" t="n"/>
      <c r="G52" s="9" t="n"/>
      <c r="H52" s="9" t="n"/>
      <c r="I52" s="9" t="n"/>
      <c r="J52" s="10">
        <f>IF(A52="","",SUMPRODUCT(D52:I52,Configuração!$B$4:$B$9))</f>
        <v/>
      </c>
      <c r="K52" s="11">
        <f>IF(A52="","",ROUND(J52/Configuração!$B$11*Configuração!$B$12,1))</f>
        <v/>
      </c>
      <c r="L52" s="12">
        <f>IF(A52="","",IF(K52&gt;=9,"Excelente",IF(K52&gt;=7,"Bom",IF(K52&gt;=5,"Básico","Em desenvolvimento"))))</f>
        <v/>
      </c>
      <c r="M52" s="13" t="inlineStr"/>
    </row>
    <row r="53">
      <c r="A53" s="7" t="n"/>
      <c r="B53" s="7" t="n"/>
      <c r="C53" s="8">
        <f>IF(A53="","",$F$2)</f>
        <v/>
      </c>
      <c r="D53" s="9" t="n"/>
      <c r="E53" s="9" t="n"/>
      <c r="F53" s="9" t="n"/>
      <c r="G53" s="9" t="n"/>
      <c r="H53" s="9" t="n"/>
      <c r="I53" s="9" t="n"/>
      <c r="J53" s="10">
        <f>IF(A53="","",SUMPRODUCT(D53:I53,Configuração!$B$4:$B$9))</f>
        <v/>
      </c>
      <c r="K53" s="11">
        <f>IF(A53="","",ROUND(J53/Configuração!$B$11*Configuração!$B$12,1))</f>
        <v/>
      </c>
      <c r="L53" s="12">
        <f>IF(A53="","",IF(K53&gt;=9,"Excelente",IF(K53&gt;=7,"Bom",IF(K53&gt;=5,"Básico","Em desenvolvimento"))))</f>
        <v/>
      </c>
      <c r="M53" s="13" t="inlineStr"/>
    </row>
    <row r="54">
      <c r="A54" s="7" t="n"/>
      <c r="B54" s="7" t="n"/>
      <c r="C54" s="8">
        <f>IF(A54="","",$F$2)</f>
        <v/>
      </c>
      <c r="D54" s="9" t="n"/>
      <c r="E54" s="9" t="n"/>
      <c r="F54" s="9" t="n"/>
      <c r="G54" s="9" t="n"/>
      <c r="H54" s="9" t="n"/>
      <c r="I54" s="9" t="n"/>
      <c r="J54" s="10">
        <f>IF(A54="","",SUMPRODUCT(D54:I54,Configuração!$B$4:$B$9))</f>
        <v/>
      </c>
      <c r="K54" s="11">
        <f>IF(A54="","",ROUND(J54/Configuração!$B$11*Configuração!$B$12,1))</f>
        <v/>
      </c>
      <c r="L54" s="12">
        <f>IF(A54="","",IF(K54&gt;=9,"Excelente",IF(K54&gt;=7,"Bom",IF(K54&gt;=5,"Básico","Em desenvolvimento"))))</f>
        <v/>
      </c>
      <c r="M54" s="13" t="inlineStr"/>
    </row>
    <row r="55">
      <c r="A55" s="7" t="n"/>
      <c r="B55" s="7" t="n"/>
      <c r="C55" s="8">
        <f>IF(A55="","",$F$2)</f>
        <v/>
      </c>
      <c r="D55" s="9" t="n"/>
      <c r="E55" s="9" t="n"/>
      <c r="F55" s="9" t="n"/>
      <c r="G55" s="9" t="n"/>
      <c r="H55" s="9" t="n"/>
      <c r="I55" s="9" t="n"/>
      <c r="J55" s="10">
        <f>IF(A55="","",SUMPRODUCT(D55:I55,Configuração!$B$4:$B$9))</f>
        <v/>
      </c>
      <c r="K55" s="11">
        <f>IF(A55="","",ROUND(J55/Configuração!$B$11*Configuração!$B$12,1))</f>
        <v/>
      </c>
      <c r="L55" s="12">
        <f>IF(A55="","",IF(K55&gt;=9,"Excelente",IF(K55&gt;=7,"Bom",IF(K55&gt;=5,"Básico","Em desenvolvimento"))))</f>
        <v/>
      </c>
      <c r="M55" s="13" t="inlineStr"/>
    </row>
    <row r="58">
      <c r="A58" s="14" t="inlineStr">
        <is>
          <t>Legenda</t>
        </is>
      </c>
      <c r="D58" s="15" t="inlineStr">
        <is>
          <t>Personalize os pesos na aba Configuração.</t>
        </is>
      </c>
    </row>
    <row r="59">
      <c r="A59" t="inlineStr">
        <is>
          <t>4 = Excelente</t>
        </is>
      </c>
    </row>
    <row r="60">
      <c r="A60" t="inlineStr">
        <is>
          <t>3 = Bom</t>
        </is>
      </c>
    </row>
    <row r="61">
      <c r="A61" t="inlineStr">
        <is>
          <t>2 = Básico</t>
        </is>
      </c>
    </row>
    <row r="62">
      <c r="A62" t="inlineStr">
        <is>
          <t>1 = Inicial</t>
        </is>
      </c>
    </row>
  </sheetData>
  <mergeCells count="1">
    <mergeCell ref="A1:M1"/>
  </mergeCells>
  <conditionalFormatting sqref="K6:K55">
    <cfRule type="colorScale" priority="1">
      <colorScale>
        <cfvo type="num" val="0"/>
        <cfvo type="num" val="7"/>
        <cfvo type="num" val="10"/>
        <color rgb="00F8696B"/>
        <color rgb="00FFEB84"/>
        <color rgb="0063BE7B"/>
      </colorScale>
    </cfRule>
  </conditionalFormatting>
  <conditionalFormatting sqref="D6:I55">
    <cfRule type="cellIs" priority="2" operator="equal" dxfId="0">
      <formula>4</formula>
    </cfRule>
    <cfRule type="cellIs" priority="3" operator="equal" dxfId="1">
      <formula>1</formula>
    </cfRule>
  </conditionalFormatting>
  <conditionalFormatting sqref="D6:D55">
    <cfRule type="expression" priority="4" dxfId="2" stopIfTrue="0">
      <formula>AND($A6&lt;&gt;"",D6="")</formula>
    </cfRule>
  </conditionalFormatting>
  <conditionalFormatting sqref="E6:E55">
    <cfRule type="expression" priority="5" dxfId="2" stopIfTrue="0">
      <formula>AND($A6&lt;&gt;"",E6="")</formula>
    </cfRule>
  </conditionalFormatting>
  <conditionalFormatting sqref="F6:F55">
    <cfRule type="expression" priority="6" dxfId="2" stopIfTrue="0">
      <formula>AND($A6&lt;&gt;"",F6="")</formula>
    </cfRule>
  </conditionalFormatting>
  <conditionalFormatting sqref="G6:G55">
    <cfRule type="expression" priority="7" dxfId="2" stopIfTrue="0">
      <formula>AND($A6&lt;&gt;"",G6="")</formula>
    </cfRule>
  </conditionalFormatting>
  <conditionalFormatting sqref="H6:H55">
    <cfRule type="expression" priority="8" dxfId="2" stopIfTrue="0">
      <formula>AND($A6&lt;&gt;"",H6="")</formula>
    </cfRule>
  </conditionalFormatting>
  <conditionalFormatting sqref="I6:I55">
    <cfRule type="expression" priority="9" dxfId="2" stopIfTrue="0">
      <formula>AND($A6&lt;&gt;"",I6="")</formula>
    </cfRule>
  </conditionalFormatting>
  <dataValidations count="1">
    <dataValidation sqref="D6:I55" showDropDown="0" showInputMessage="0" showErrorMessage="0" allowBlank="1" errorTitle="Valor inválido" error="Use apenas notas inteiras de 1 a 4." promptTitle="Nota do critério" prompt="Digite um valor de 1 a 4." type="whole" operator="between">
      <formula1>1</formula1>
      <formula2>4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5" customWidth="1" min="3" max="3"/>
  </cols>
  <sheetData>
    <row r="1">
      <c r="A1" s="1" t="inlineStr">
        <is>
          <t>Configuração da Planilha de Avaliação</t>
        </is>
      </c>
    </row>
    <row r="3">
      <c r="A3" s="16" t="inlineStr">
        <is>
          <t>Critério</t>
        </is>
      </c>
      <c r="B3" s="16" t="inlineStr">
        <is>
          <t>Peso</t>
        </is>
      </c>
      <c r="C3" s="16" t="inlineStr">
        <is>
          <t>Observação</t>
        </is>
      </c>
    </row>
    <row r="4">
      <c r="A4" s="17" t="inlineStr">
        <is>
          <t>Tema cultural</t>
        </is>
      </c>
      <c r="B4" s="18" t="n">
        <v>1</v>
      </c>
      <c r="C4" s="19" t="inlineStr">
        <is>
          <t>Altere o peso se quiser dar mais ou menos importância a este critério.</t>
        </is>
      </c>
    </row>
    <row r="5">
      <c r="A5" s="17" t="inlineStr">
        <is>
          <t>Criatividade</t>
        </is>
      </c>
      <c r="B5" s="18" t="n">
        <v>1</v>
      </c>
      <c r="C5" s="19" t="inlineStr">
        <is>
          <t>Altere o peso se quiser dar mais ou menos importância a este critério.</t>
        </is>
      </c>
    </row>
    <row r="6">
      <c r="A6" s="17" t="inlineStr">
        <is>
          <t>Linguagem poética</t>
        </is>
      </c>
      <c r="B6" s="18" t="n">
        <v>1</v>
      </c>
      <c r="C6" s="19" t="inlineStr">
        <is>
          <t>Altere o peso se quiser dar mais ou menos importância a este critério.</t>
        </is>
      </c>
    </row>
    <row r="7">
      <c r="A7" s="17" t="inlineStr">
        <is>
          <t>Organização</t>
        </is>
      </c>
      <c r="B7" s="18" t="n">
        <v>1</v>
      </c>
      <c r="C7" s="19" t="inlineStr">
        <is>
          <t>Altere o peso se quiser dar mais ou menos importância a este critério.</t>
        </is>
      </c>
    </row>
    <row r="8">
      <c r="A8" s="17" t="inlineStr">
        <is>
          <t>Expressão visual</t>
        </is>
      </c>
      <c r="B8" s="18" t="n">
        <v>1</v>
      </c>
      <c r="C8" s="19" t="inlineStr">
        <is>
          <t>Altere o peso se quiser dar mais ou menos importância a este critério.</t>
        </is>
      </c>
    </row>
    <row r="9">
      <c r="A9" s="17" t="inlineStr">
        <is>
          <t>Participação</t>
        </is>
      </c>
      <c r="B9" s="18" t="n">
        <v>1</v>
      </c>
      <c r="C9" s="19" t="inlineStr">
        <is>
          <t>Altere o peso se quiser dar mais ou menos importância a este critério.</t>
        </is>
      </c>
    </row>
    <row r="10">
      <c r="A10" s="17" t="n"/>
      <c r="B10" s="17" t="n"/>
      <c r="C10" s="17" t="n"/>
    </row>
    <row r="11">
      <c r="A11" s="17" t="inlineStr">
        <is>
          <t>Pontuação máxima</t>
        </is>
      </c>
      <c r="B11" s="17">
        <f>SUM(B4:B9)*4</f>
        <v/>
      </c>
      <c r="C11" s="17" t="n"/>
    </row>
    <row r="12">
      <c r="A12" s="17" t="inlineStr">
        <is>
          <t>Nota máxima</t>
        </is>
      </c>
      <c r="B12" s="20" t="n">
        <v>10</v>
      </c>
      <c r="C12" s="17" t="n"/>
    </row>
    <row r="14">
      <c r="A14" t="inlineStr">
        <is>
          <t>Escala dos níveis</t>
        </is>
      </c>
    </row>
    <row r="15">
      <c r="A15" t="inlineStr">
        <is>
          <t>4 = Excelente</t>
        </is>
      </c>
    </row>
    <row r="16">
      <c r="A16" t="inlineStr">
        <is>
          <t>3 = Bom</t>
        </is>
      </c>
    </row>
    <row r="17">
      <c r="A17" t="inlineStr">
        <is>
          <t>2 = Básico</t>
        </is>
      </c>
    </row>
    <row r="18">
      <c r="A18" t="inlineStr">
        <is>
          <t>1 = Inicial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5" customWidth="1" min="1" max="1"/>
    <col width="6" customWidth="1" min="2" max="2"/>
    <col width="38" customWidth="1" min="3" max="3"/>
    <col width="10" customWidth="1" min="4" max="4"/>
  </cols>
  <sheetData>
    <row r="1">
      <c r="A1" s="1" t="inlineStr">
        <is>
          <t>Como usar</t>
        </is>
      </c>
    </row>
    <row r="3">
      <c r="A3" t="inlineStr">
        <is>
          <t>1. Preencha nome, turma e data na aba Avaliação.</t>
        </is>
      </c>
      <c r="C3" s="14" t="inlineStr">
        <is>
          <t>Fórmula da nota</t>
        </is>
      </c>
    </row>
    <row r="4">
      <c r="A4" t="inlineStr">
        <is>
          <t>2. Dê notas de 1 a 4 para cada critério (1=Inicial, 4=Excelente).</t>
        </is>
      </c>
      <c r="C4" t="inlineStr">
        <is>
          <t>Nota Final = (Pontos obtidos ÷ Pontuação máxima) × Nota máxima</t>
        </is>
      </c>
    </row>
    <row r="5">
      <c r="A5" t="inlineStr">
        <is>
          <t>3. A planilha calcula automaticamente Pontos, Nota Final e Conceito.</t>
        </is>
      </c>
    </row>
    <row r="6">
      <c r="A6" t="inlineStr">
        <is>
          <t>4. Se desejar, ajuste os pesos dos critérios na aba Configuração.</t>
        </is>
      </c>
      <c r="C6" t="inlineStr">
        <is>
          <t>Conceitos sugeridos</t>
        </is>
      </c>
    </row>
    <row r="7">
      <c r="A7" t="inlineStr">
        <is>
          <t>5. Use a coluna Observações para feedback individual.</t>
        </is>
      </c>
      <c r="C7" t="inlineStr">
        <is>
          <t>9,0 a 10,0 = Excelente</t>
        </is>
      </c>
    </row>
    <row r="8">
      <c r="C8" t="inlineStr">
        <is>
          <t>7,0 a 8,9 = Bom</t>
        </is>
      </c>
    </row>
    <row r="9">
      <c r="C9" t="inlineStr">
        <is>
          <t>5,0 a 6,9 = Básico</t>
        </is>
      </c>
    </row>
    <row r="10">
      <c r="A10" s="14" t="inlineStr">
        <is>
          <t>Critérios avaliados</t>
        </is>
      </c>
      <c r="C10" t="inlineStr">
        <is>
          <t>Abaixo de 5,0 = Em desenvolvimento</t>
        </is>
      </c>
    </row>
    <row r="11">
      <c r="A11" t="inlineStr">
        <is>
          <t>• Tema cultural</t>
        </is>
      </c>
    </row>
    <row r="12">
      <c r="A12" t="inlineStr">
        <is>
          <t>• Criatividade</t>
        </is>
      </c>
    </row>
    <row r="13">
      <c r="A13" t="inlineStr">
        <is>
          <t>• Linguagem poética</t>
        </is>
      </c>
    </row>
    <row r="14">
      <c r="A14" t="inlineStr">
        <is>
          <t>• Organização</t>
        </is>
      </c>
    </row>
    <row r="15">
      <c r="A15" t="inlineStr">
        <is>
          <t>• Expressão visual</t>
        </is>
      </c>
    </row>
    <row r="16">
      <c r="A16" t="inlineStr">
        <is>
          <t>• Participação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2026-03-08T00:19:42Z</dcterms:created>
  <dcterms:modified xmlns:dcterms="http://purl.org/dc/terms/" xmlns:xsi="http://www.w3.org/2001/XMLSchema-instance" xsi:type="dcterms:W3CDTF">2026-03-08T00:19:42Z</dcterms:modified>
</cp:coreProperties>
</file>